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mi/Documents/Code/Github/GSA-work/explore/sythetic/case/caseA/label/"/>
    </mc:Choice>
  </mc:AlternateContent>
  <xr:revisionPtr revIDLastSave="0" documentId="8_{1E384DE8-502F-C14A-997D-E7F4AC8A98D8}" xr6:coauthVersionLast="47" xr6:coauthVersionMax="47" xr10:uidLastSave="{00000000-0000-0000-0000-000000000000}"/>
  <bookViews>
    <workbookView xWindow="4420" yWindow="680" windowWidth="25820" windowHeight="17760" activeTab="1" xr2:uid="{00000000-000D-0000-FFFF-FFFF00000000}"/>
  </bookViews>
  <sheets>
    <sheet name="Summary" sheetId="1" r:id="rId1"/>
    <sheet name="P_Q_TRIM" sheetId="2" r:id="rId2"/>
    <sheet name="P_Q_RAW" sheetId="3" r:id="rId3"/>
    <sheet name="ET_Q_RAW" sheetId="4" r:id="rId4"/>
    <sheet name="RSDS_Q_RAW" sheetId="5" r:id="rId5"/>
    <sheet name="RLDS_Q_RAW" sheetId="6" r:id="rId6"/>
    <sheet name="HFLS_Q_RAW" sheetId="7" r:id="rId7"/>
    <sheet name="HFSS_Q_RAW" sheetId="8" r:id="rId8"/>
    <sheet name="HFSS_Q_TRIM" sheetId="9" r:id="rId9"/>
    <sheet name="P_ET_RAW" sheetId="10" r:id="rId10"/>
    <sheet name="MRSOS_Q_TRIM" sheetId="11" r:id="rId11"/>
    <sheet name="RLUS_Q_RAW" sheetId="12" r:id="rId12"/>
    <sheet name="RLUS_Q_TRIM" sheetId="13" r:id="rId13"/>
    <sheet name="MRROS_Q_TRIM" sheetId="14" r:id="rId14"/>
    <sheet name="HFLS_Q_TRIM" sheetId="15" r:id="rId15"/>
    <sheet name="PRSN_Q_TRIM" sheetId="16" r:id="rId16"/>
    <sheet name="Label_Log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K27" i="1"/>
  <c r="J27" i="1"/>
  <c r="I27" i="1"/>
  <c r="H27" i="1"/>
  <c r="G27" i="1"/>
  <c r="F27" i="1"/>
  <c r="E27" i="1"/>
  <c r="D27" i="1"/>
  <c r="L26" i="1"/>
  <c r="K26" i="1"/>
  <c r="J26" i="1"/>
  <c r="I26" i="1"/>
  <c r="H26" i="1"/>
  <c r="G26" i="1"/>
  <c r="F26" i="1"/>
  <c r="E26" i="1"/>
  <c r="D26" i="1"/>
  <c r="L25" i="1"/>
  <c r="K25" i="1"/>
  <c r="J25" i="1"/>
  <c r="I25" i="1"/>
  <c r="H25" i="1"/>
  <c r="G25" i="1"/>
  <c r="F25" i="1"/>
  <c r="E25" i="1"/>
  <c r="D25" i="1"/>
  <c r="L24" i="1"/>
  <c r="K24" i="1"/>
  <c r="J24" i="1"/>
  <c r="I24" i="1"/>
  <c r="H24" i="1"/>
  <c r="G24" i="1"/>
  <c r="F24" i="1"/>
  <c r="E24" i="1"/>
  <c r="D24" i="1"/>
  <c r="L23" i="1"/>
  <c r="K23" i="1"/>
  <c r="J23" i="1"/>
  <c r="I23" i="1"/>
  <c r="H23" i="1"/>
  <c r="G23" i="1"/>
  <c r="F23" i="1"/>
  <c r="E23" i="1"/>
  <c r="D23" i="1"/>
  <c r="L22" i="1"/>
  <c r="K22" i="1"/>
  <c r="J22" i="1"/>
  <c r="I22" i="1"/>
  <c r="H22" i="1"/>
  <c r="G22" i="1"/>
  <c r="F22" i="1"/>
  <c r="E22" i="1"/>
  <c r="D22" i="1"/>
  <c r="L21" i="1"/>
  <c r="K21" i="1"/>
  <c r="J21" i="1"/>
  <c r="I21" i="1"/>
  <c r="H21" i="1"/>
  <c r="G21" i="1"/>
  <c r="F21" i="1"/>
  <c r="E21" i="1"/>
  <c r="D21" i="1"/>
  <c r="L20" i="1"/>
  <c r="K20" i="1"/>
  <c r="J20" i="1"/>
  <c r="I20" i="1"/>
  <c r="H20" i="1"/>
  <c r="G20" i="1"/>
  <c r="F20" i="1"/>
  <c r="E20" i="1"/>
  <c r="D20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L17" i="1"/>
  <c r="K17" i="1"/>
  <c r="J17" i="1"/>
  <c r="I17" i="1"/>
  <c r="H17" i="1"/>
  <c r="G17" i="1"/>
  <c r="F17" i="1"/>
  <c r="E17" i="1"/>
  <c r="D17" i="1"/>
  <c r="L16" i="1"/>
  <c r="K16" i="1"/>
  <c r="J16" i="1"/>
  <c r="I16" i="1"/>
  <c r="H16" i="1"/>
  <c r="G16" i="1"/>
  <c r="F16" i="1"/>
  <c r="E16" i="1"/>
  <c r="D16" i="1"/>
  <c r="L15" i="1"/>
  <c r="K15" i="1"/>
  <c r="J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</calcChain>
</file>

<file path=xl/sharedStrings.xml><?xml version="1.0" encoding="utf-8"?>
<sst xmlns="http://schemas.openxmlformats.org/spreadsheetml/2006/main" count="1515" uniqueCount="155">
  <si>
    <t>CMIP6 Manual Relationship Labels</t>
  </si>
  <si>
    <t>人工判断优先；算法输出不自动写入人工标签。所有矩阵均为 5 个模型 × 6 个区域。</t>
  </si>
  <si>
    <t>标签</t>
  </si>
  <si>
    <t>含义</t>
  </si>
  <si>
    <t>响应形态标签</t>
  </si>
  <si>
    <t>Branch</t>
  </si>
  <si>
    <t>明确分支</t>
  </si>
  <si>
    <t>Linear</t>
  </si>
  <si>
    <t>近似线性响应</t>
  </si>
  <si>
    <t>Candidate</t>
  </si>
  <si>
    <t>局部分支或较弱证据</t>
  </si>
  <si>
    <t>Acceleration</t>
  </si>
  <si>
    <t>加速响应</t>
  </si>
  <si>
    <t>Uncertain</t>
  </si>
  <si>
    <t>存在冲突或尚未最终确认</t>
  </si>
  <si>
    <t>Saturation</t>
  </si>
  <si>
    <t>饱和响应</t>
  </si>
  <si>
    <t>No branch</t>
  </si>
  <si>
    <t>明确不是分支</t>
  </si>
  <si>
    <t>待标注</t>
  </si>
  <si>
    <t>尚无人工判断</t>
  </si>
  <si>
    <t>Worksheet</t>
  </si>
  <si>
    <t>Pair</t>
  </si>
  <si>
    <t>Version</t>
  </si>
  <si>
    <t>Annotated</t>
  </si>
  <si>
    <t>P_Q_TRIM</t>
  </si>
  <si>
    <t>P → Q</t>
  </si>
  <si>
    <t>TRIMMED</t>
  </si>
  <si>
    <t>P_Q_RAW</t>
  </si>
  <si>
    <t>RAW</t>
  </si>
  <si>
    <t>ET_Q_RAW</t>
  </si>
  <si>
    <t>ET → Q</t>
  </si>
  <si>
    <t>RSDS_Q_RAW</t>
  </si>
  <si>
    <t>rsds → Q</t>
  </si>
  <si>
    <t>RLDS_Q_RAW</t>
  </si>
  <si>
    <t>rlds → Q</t>
  </si>
  <si>
    <t>HFLS_Q_RAW</t>
  </si>
  <si>
    <t>hfls → Q</t>
  </si>
  <si>
    <t>HFSS_Q_RAW</t>
  </si>
  <si>
    <t>hfss → Q</t>
  </si>
  <si>
    <t>HFSS_Q_TRIM</t>
  </si>
  <si>
    <t>P_ET_RAW</t>
  </si>
  <si>
    <t>P → ET</t>
  </si>
  <si>
    <t>MRSOS_Q_TRIM</t>
  </si>
  <si>
    <t>mrsos → Q</t>
  </si>
  <si>
    <t>RLUS_Q_RAW</t>
  </si>
  <si>
    <t>rlus → Q</t>
  </si>
  <si>
    <t>RLUS_Q_TRIM</t>
  </si>
  <si>
    <t>MRROS_Q_TRIM</t>
  </si>
  <si>
    <t>mrros → Q</t>
  </si>
  <si>
    <t>HFLS_Q_TRIM</t>
  </si>
  <si>
    <t>PRSN_Q_TRIM</t>
  </si>
  <si>
    <t>prsn → Q</t>
  </si>
  <si>
    <t>P → Q · TRIMMED · Manual labels</t>
  </si>
  <si>
    <t>可直接修改 B5:G9；下拉菜单包含八类标签，颜色会随文字标签自动变化。</t>
  </si>
  <si>
    <t>Model</t>
  </si>
  <si>
    <t>All land</t>
  </si>
  <si>
    <t>Wet-warm (WW)</t>
  </si>
  <si>
    <t>Dry-warm (WD)</t>
  </si>
  <si>
    <t>Wet-cold (CW)</t>
  </si>
  <si>
    <t>Dry-cold (CD)</t>
  </si>
  <si>
    <t>Land ice (LI)</t>
  </si>
  <si>
    <t>Legend</t>
  </si>
  <si>
    <t>Meaning</t>
  </si>
  <si>
    <t>CESM2</t>
  </si>
  <si>
    <t>CNRM-CM6-1</t>
  </si>
  <si>
    <t>局部/较弱分支</t>
  </si>
  <si>
    <t>CanESM5</t>
  </si>
  <si>
    <t>GFDL-CM4</t>
  </si>
  <si>
    <t>CMCC-CM2-SR5</t>
  </si>
  <si>
    <t>尚需复核</t>
  </si>
  <si>
    <t>明确非分支</t>
  </si>
  <si>
    <t>无人工判断</t>
  </si>
  <si>
    <t>P → Q · RAW · Manual labels</t>
  </si>
  <si>
    <t>ET → Q · RAW · Manual labels</t>
  </si>
  <si>
    <t>rsds → Q · RAW · Manual labels</t>
  </si>
  <si>
    <t>rlds → Q · RAW · Manual labels</t>
  </si>
  <si>
    <t>hfls → Q · RAW · Manual labels</t>
  </si>
  <si>
    <t>hfss → Q · RAW · Manual labels</t>
  </si>
  <si>
    <t>hfss → Q · TRIMMED · Manual labels</t>
  </si>
  <si>
    <t>P → ET · RAW · Manual labels</t>
  </si>
  <si>
    <t>mrsos → Q · TRIMMED · Manual labels</t>
  </si>
  <si>
    <t>rlus → Q · RAW · Manual labels</t>
  </si>
  <si>
    <t>rlus → Q · TRIMMED · Manual labels</t>
  </si>
  <si>
    <t>mrros → Q · TRIMMED · Manual labels</t>
  </si>
  <si>
    <t>hfls → Q · TRIMMED · Manual labels</t>
  </si>
  <si>
    <t>prsn → Q · TRIMMED · Manual labels</t>
  </si>
  <si>
    <t>Manual Label Log</t>
  </si>
  <si>
    <t>每行是一条已有人工作出判断的记录；矩阵中的“待标注”不写入此表。Confidence 表示本次整理时的确定程度。</t>
  </si>
  <si>
    <t>Domain</t>
  </si>
  <si>
    <t>Coordinate</t>
  </si>
  <si>
    <t>Manual label</t>
  </si>
  <si>
    <t>Confidence</t>
  </si>
  <si>
    <t>Basis / note</t>
  </si>
  <si>
    <t>all_land</t>
  </si>
  <si>
    <t>(1,1)</t>
  </si>
  <si>
    <t>Medium</t>
  </si>
  <si>
    <t>整理自既有人工参考。</t>
  </si>
  <si>
    <t>WW</t>
  </si>
  <si>
    <t>(1,2)</t>
  </si>
  <si>
    <t>旧双带类别已移除；按当前判定体系归入 No branch。</t>
  </si>
  <si>
    <t>WD</t>
  </si>
  <si>
    <t>(1,3)</t>
  </si>
  <si>
    <t>CW</t>
  </si>
  <si>
    <t>(1,4)</t>
  </si>
  <si>
    <t>High</t>
  </si>
  <si>
    <t>用户明确认为应为 No branch。</t>
  </si>
  <si>
    <t>CD</t>
  </si>
  <si>
    <t>(1,5)</t>
  </si>
  <si>
    <t>LI</t>
  </si>
  <si>
    <t>(1,6)</t>
  </si>
  <si>
    <t>用户明确确认的 Branch（1,6）。</t>
  </si>
  <si>
    <t>(2,1)</t>
  </si>
  <si>
    <t>Low</t>
  </si>
  <si>
    <t>后期红框与早期判断存在冲突，保留 Uncertain。</t>
  </si>
  <si>
    <t>(2,2)</t>
  </si>
  <si>
    <t>(2,3)</t>
  </si>
  <si>
    <t>(2,4)</t>
  </si>
  <si>
    <t>(2,5)</t>
  </si>
  <si>
    <t>(2,6)</t>
  </si>
  <si>
    <t>(3,1)</t>
  </si>
  <si>
    <t>(3,2)</t>
  </si>
  <si>
    <t>(3,3)</t>
  </si>
  <si>
    <t>(3,4)</t>
  </si>
  <si>
    <t>(3,5)</t>
  </si>
  <si>
    <t>(3,6)</t>
  </si>
  <si>
    <t>(4,1)</t>
  </si>
  <si>
    <t>(4,2)</t>
  </si>
  <si>
    <t>(4,3)</t>
  </si>
  <si>
    <t>(4,4)</t>
  </si>
  <si>
    <t>(4,5)</t>
  </si>
  <si>
    <t>(4,6)</t>
  </si>
  <si>
    <t>用户后期明确确认的 Branch（4,6）；旧参考表曾标 Uncertain。</t>
  </si>
  <si>
    <t>(5,1)</t>
  </si>
  <si>
    <t>(5,2)</t>
  </si>
  <si>
    <t>(5,3)</t>
  </si>
  <si>
    <t>(5,4)</t>
  </si>
  <si>
    <t>(5,5)</t>
  </si>
  <si>
    <t>(5,6)</t>
  </si>
  <si>
    <t>用户明确确认的 Branch（5,6）。</t>
  </si>
  <si>
    <t>用户明确要求不要分成 Branch。</t>
  </si>
  <si>
    <t>用户确认的 RAW Branch。</t>
  </si>
  <si>
    <t>用户认为扇形/异方差结构不应作为 Branch。</t>
  </si>
  <si>
    <t>用户明确认为是误报。</t>
  </si>
  <si>
    <t>用户要求在不增加阈值的情况下筛掉。</t>
  </si>
  <si>
    <t>用户认为宽带/扇形结构不是 Branch。</t>
  </si>
  <si>
    <t>用户红框指出不应为 Branch。</t>
  </si>
  <si>
    <t>同组截图中被作为误报讨论。</t>
  </si>
  <si>
    <t>用户认为该面板不应为 Branch。</t>
  </si>
  <si>
    <t>用户明确表示该组候选全部不是 Branch。</t>
  </si>
  <si>
    <t>用户询问为什么不是 Branch；先保留为 Uncertain。</t>
  </si>
  <si>
    <t>用户认为也可能是 Branch；尚未最终确认。</t>
  </si>
  <si>
    <t>用户明确认为是局部分支，标为 Candidate。</t>
  </si>
  <si>
    <t>用户希望这类小分支能够被接受；暂列 Candidate。</t>
  </si>
  <si>
    <t>用户红框指出可能是漏检 Branch，尚未最终确认。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</si>
</sst>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b/>
      <sz val="16"/>
      <color rgb="FFFFFFFF"/>
      <name val="Carlito"/>
    </font>
    <font>
      <i/>
      <sz val="10"/>
      <color rgb="FF334155"/>
      <name val="Carlito"/>
    </font>
    <font>
      <b/>
      <sz val="11"/>
      <color rgb="FFFFFFFF"/>
      <name val="Carlito"/>
    </font>
    <font>
      <b/>
      <sz val="11"/>
      <color rgb="FF166534"/>
      <name val="Carlito"/>
    </font>
    <font>
      <b/>
      <sz val="11"/>
      <color rgb="FF8A5A00"/>
      <name val="Carlito"/>
    </font>
    <font>
      <b/>
      <sz val="11"/>
      <color rgb="FF4B5563"/>
      <name val="Carlito"/>
    </font>
    <font>
      <b/>
      <sz val="11"/>
      <color rgb="FF374151"/>
      <name val="Carlito"/>
    </font>
    <font>
      <b/>
      <sz val="11"/>
      <color rgb="FF9CA3AF"/>
      <name val="Carlito"/>
    </font>
    <font>
      <b/>
      <sz val="10"/>
      <color rgb="FFFFFFFF"/>
      <name val="Carlito"/>
    </font>
    <font>
      <b/>
      <sz val="11"/>
      <color rgb="FF1F2937"/>
      <name val="Carlito"/>
    </font>
    <font>
      <sz val="10"/>
      <color rgb="FF374151"/>
      <name val="Carlito"/>
    </font>
    <font>
      <b/>
      <sz val="11"/>
      <color rgb="FFC45C26"/>
      <name val="Carlito"/>
    </font>
    <font>
      <b/>
      <sz val="11"/>
      <color rgb="FFB88600"/>
      <name val="Carlito"/>
    </font>
    <font>
      <b/>
      <sz val="11"/>
      <color rgb="FFC45C3A"/>
      <name val="Carlito"/>
    </font>
    <font>
      <sz val="11"/>
      <color rgb="FF1F2937"/>
      <name val="Carlito"/>
    </font>
  </fonts>
  <fills count="20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0F6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F2E3"/>
      </patternFill>
    </fill>
    <fill>
      <patternFill patternType="solid">
        <fgColor rgb="FFFFF1B8"/>
      </patternFill>
    </fill>
    <fill>
      <patternFill patternType="solid">
        <fgColor rgb="FFE5E7EB"/>
      </patternFill>
    </fill>
    <fill>
      <patternFill patternType="solid">
        <fgColor rgb="FFF5F6F8"/>
      </patternFill>
    </fill>
    <fill>
      <patternFill patternType="solid">
        <fgColor rgb="FFFFFFFF"/>
      </patternFill>
    </fill>
    <fill>
      <patternFill patternType="solid">
        <fgColor rgb="FF275A83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E8D2"/>
      </patternFill>
    </fill>
    <fill>
      <patternFill patternType="solid">
        <fgColor rgb="FFFFF6CC"/>
      </patternFill>
    </fill>
    <fill>
      <patternFill patternType="solid">
        <fgColor rgb="FFF8E4D8"/>
      </patternFill>
    </fill>
    <fill>
      <patternFill patternType="solid">
        <fgColor rgb="FFE5E7EB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/>
      <right style="thin">
        <color rgb="FFD7DEE7"/>
      </right>
      <top/>
      <bottom/>
      <diagonal/>
    </border>
    <border>
      <left style="thin">
        <color rgb="FFD7DEE7"/>
      </left>
      <right/>
      <top/>
      <bottom/>
      <diagonal/>
    </border>
    <border>
      <left/>
      <right style="thin">
        <color rgb="FFE1E6EC"/>
      </right>
      <top/>
      <bottom style="thin">
        <color rgb="FFE1E6EC"/>
      </bottom>
      <diagonal/>
    </border>
    <border>
      <left style="thin">
        <color rgb="FFE1E6EC"/>
      </left>
      <right style="thin">
        <color rgb="FFE1E6EC"/>
      </right>
      <top/>
      <bottom style="thin">
        <color rgb="FFE1E6EC"/>
      </bottom>
      <diagonal/>
    </border>
    <border>
      <left style="thin">
        <color rgb="FFE1E6EC"/>
      </left>
      <right/>
      <top/>
      <bottom style="thin">
        <color rgb="FFE1E6EC"/>
      </bottom>
      <diagonal/>
    </border>
    <border>
      <left/>
      <right style="thin">
        <color rgb="FFE1E6EC"/>
      </right>
      <top style="thin">
        <color rgb="FFE1E6EC"/>
      </top>
      <bottom style="thin">
        <color rgb="FFE1E6EC"/>
      </bottom>
      <diagonal/>
    </border>
    <border>
      <left style="thin">
        <color rgb="FFE1E6EC"/>
      </left>
      <right style="thin">
        <color rgb="FFE1E6EC"/>
      </right>
      <top style="thin">
        <color rgb="FFE1E6EC"/>
      </top>
      <bottom style="thin">
        <color rgb="FFE1E6EC"/>
      </bottom>
      <diagonal/>
    </border>
    <border>
      <left style="thin">
        <color rgb="FFE1E6EC"/>
      </left>
      <right/>
      <top style="thin">
        <color rgb="FFE1E6EC"/>
      </top>
      <bottom style="thin">
        <color rgb="FFE1E6EC"/>
      </bottom>
      <diagonal/>
    </border>
    <border>
      <left/>
      <right style="thin">
        <color rgb="FFE1E6EC"/>
      </right>
      <top style="thin">
        <color rgb="FFE1E6EC"/>
      </top>
      <bottom/>
      <diagonal/>
    </border>
    <border>
      <left style="thin">
        <color rgb="FFE1E6EC"/>
      </left>
      <right style="thin">
        <color rgb="FFE1E6EC"/>
      </right>
      <top style="thin">
        <color rgb="FFE1E6EC"/>
      </top>
      <bottom/>
      <diagonal/>
    </border>
    <border>
      <left style="thin">
        <color rgb="FFE1E6EC"/>
      </left>
      <right/>
      <top style="thin">
        <color rgb="FFE1E6EC"/>
      </top>
      <bottom/>
      <diagonal/>
    </border>
    <border>
      <left style="thin">
        <color rgb="FFD7DEE7"/>
      </left>
      <right style="thin">
        <color rgb="FFD7DEE7"/>
      </right>
      <top style="thin">
        <color rgb="FFD7DEE7"/>
      </top>
      <bottom style="thin">
        <color rgb="FFD7DEE7"/>
      </bottom>
      <diagonal/>
    </border>
    <border>
      <left/>
      <right style="thin">
        <color rgb="FFD8DEE8"/>
      </right>
      <top/>
      <bottom style="thin">
        <color rgb="FFD8DEE8"/>
      </bottom>
      <diagonal/>
    </border>
    <border>
      <left style="thin">
        <color rgb="FFD8DEE8"/>
      </left>
      <right/>
      <top/>
      <bottom style="thin">
        <color rgb="FFD8DEE8"/>
      </bottom>
      <diagonal/>
    </border>
    <border>
      <left/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D8DEE8"/>
      </left>
      <right/>
      <top style="thin">
        <color rgb="FFD8DEE8"/>
      </top>
      <bottom style="thin">
        <color rgb="FFD8DEE8"/>
      </bottom>
      <diagonal/>
    </border>
    <border>
      <left/>
      <right style="thin">
        <color rgb="FFD8DEE8"/>
      </right>
      <top style="thin">
        <color rgb="FFD8DEE8"/>
      </top>
      <bottom/>
      <diagonal/>
    </border>
    <border>
      <left style="thin">
        <color rgb="FFD8DEE8"/>
      </left>
      <right/>
      <top style="thin">
        <color rgb="FFD8DEE8"/>
      </top>
      <bottom/>
      <diagonal/>
    </border>
    <border>
      <left/>
      <right style="thin">
        <color rgb="FFE5E7EB"/>
      </right>
      <top/>
      <bottom style="thin">
        <color rgb="FFD8DEE8"/>
      </bottom>
      <diagonal/>
    </border>
    <border>
      <left style="thin">
        <color rgb="FFE5E7EB"/>
      </left>
      <right style="thin">
        <color rgb="FFE5E7EB"/>
      </right>
      <top/>
      <bottom style="thin">
        <color rgb="FFD8DEE8"/>
      </bottom>
      <diagonal/>
    </border>
    <border>
      <left style="thin">
        <color rgb="FFE5E7EB"/>
      </left>
      <right/>
      <top/>
      <bottom style="thin">
        <color rgb="FFD8DEE8"/>
      </bottom>
      <diagonal/>
    </border>
    <border>
      <left/>
      <right style="thin">
        <color rgb="FFE5E7EB"/>
      </right>
      <top style="thin">
        <color rgb="FFD8DEE8"/>
      </top>
      <bottom style="thin">
        <color rgb="FFD8DEE8"/>
      </bottom>
      <diagonal/>
    </border>
    <border>
      <left style="thin">
        <color rgb="FFE5E7EB"/>
      </left>
      <right style="thin">
        <color rgb="FFE5E7EB"/>
      </right>
      <top style="thin">
        <color rgb="FFD8DEE8"/>
      </top>
      <bottom style="thin">
        <color rgb="FFD8DEE8"/>
      </bottom>
      <diagonal/>
    </border>
    <border>
      <left style="thin">
        <color rgb="FFE5E7EB"/>
      </left>
      <right/>
      <top style="thin">
        <color rgb="FFD8DEE8"/>
      </top>
      <bottom style="thin">
        <color rgb="FFD8DEE8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9" fillId="4" borderId="1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5" borderId="0" xfId="0" applyFont="1" applyFill="1"/>
    <xf numFmtId="0" fontId="4" fillId="6" borderId="1" xfId="0" applyFont="1" applyFill="1" applyBorder="1"/>
    <xf numFmtId="0" fontId="4" fillId="6" borderId="2" xfId="0" applyFont="1" applyFill="1" applyBorder="1"/>
    <xf numFmtId="0" fontId="5" fillId="7" borderId="1" xfId="0" applyFont="1" applyFill="1" applyBorder="1"/>
    <xf numFmtId="0" fontId="5" fillId="7" borderId="2" xfId="0" applyFont="1" applyFill="1" applyBorder="1"/>
    <xf numFmtId="0" fontId="6" fillId="8" borderId="1" xfId="0" applyFont="1" applyFill="1" applyBorder="1"/>
    <xf numFmtId="0" fontId="6" fillId="8" borderId="2" xfId="0" applyFont="1" applyFill="1" applyBorder="1"/>
    <xf numFmtId="0" fontId="7" fillId="9" borderId="1" xfId="0" applyFont="1" applyFill="1" applyBorder="1"/>
    <xf numFmtId="0" fontId="7" fillId="9" borderId="2" xfId="0" applyFont="1" applyFill="1" applyBorder="1"/>
    <xf numFmtId="0" fontId="8" fillId="10" borderId="1" xfId="0" applyFont="1" applyFill="1" applyBorder="1"/>
    <xf numFmtId="0" fontId="8" fillId="10" borderId="2" xfId="0" applyFont="1" applyFill="1" applyBorder="1"/>
    <xf numFmtId="0" fontId="3" fillId="11" borderId="0" xfId="0" applyFont="1" applyFill="1" applyAlignment="1">
      <alignment horizontal="center"/>
    </xf>
    <xf numFmtId="0" fontId="3" fillId="11" borderId="13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vertical="center"/>
    </xf>
    <xf numFmtId="0" fontId="4" fillId="12" borderId="16" xfId="0" applyFont="1" applyFill="1" applyBorder="1" applyAlignment="1">
      <alignment vertical="center"/>
    </xf>
    <xf numFmtId="0" fontId="5" fillId="13" borderId="15" xfId="0" applyFont="1" applyFill="1" applyBorder="1" applyAlignment="1">
      <alignment vertical="center"/>
    </xf>
    <xf numFmtId="0" fontId="5" fillId="13" borderId="16" xfId="0" applyFont="1" applyFill="1" applyBorder="1" applyAlignment="1">
      <alignment vertical="center"/>
    </xf>
    <xf numFmtId="0" fontId="12" fillId="14" borderId="15" xfId="0" applyFont="1" applyFill="1" applyBorder="1" applyAlignment="1">
      <alignment vertical="center"/>
    </xf>
    <xf numFmtId="0" fontId="12" fillId="14" borderId="16" xfId="0" applyFont="1" applyFill="1" applyBorder="1" applyAlignment="1">
      <alignment vertical="center"/>
    </xf>
    <xf numFmtId="0" fontId="13" fillId="15" borderId="15" xfId="0" applyFont="1" applyFill="1" applyBorder="1" applyAlignment="1">
      <alignment vertical="center"/>
    </xf>
    <xf numFmtId="0" fontId="13" fillId="15" borderId="16" xfId="0" applyFont="1" applyFill="1" applyBorder="1" applyAlignment="1">
      <alignment vertical="center"/>
    </xf>
    <xf numFmtId="0" fontId="14" fillId="16" borderId="15" xfId="0" applyFont="1" applyFill="1" applyBorder="1" applyAlignment="1">
      <alignment vertical="center"/>
    </xf>
    <xf numFmtId="0" fontId="14" fillId="16" borderId="16" xfId="0" applyFont="1" applyFill="1" applyBorder="1" applyAlignment="1">
      <alignment vertical="center"/>
    </xf>
    <xf numFmtId="0" fontId="6" fillId="17" borderId="15" xfId="0" applyFont="1" applyFill="1" applyBorder="1" applyAlignment="1">
      <alignment vertical="center"/>
    </xf>
    <xf numFmtId="0" fontId="6" fillId="17" borderId="16" xfId="0" applyFont="1" applyFill="1" applyBorder="1" applyAlignment="1">
      <alignment vertical="center"/>
    </xf>
    <xf numFmtId="0" fontId="7" fillId="18" borderId="15" xfId="0" applyFont="1" applyFill="1" applyBorder="1" applyAlignment="1">
      <alignment vertical="center"/>
    </xf>
    <xf numFmtId="0" fontId="7" fillId="18" borderId="16" xfId="0" applyFont="1" applyFill="1" applyBorder="1" applyAlignment="1">
      <alignment vertical="center"/>
    </xf>
    <xf numFmtId="0" fontId="8" fillId="19" borderId="17" xfId="0" applyFont="1" applyFill="1" applyBorder="1" applyAlignment="1">
      <alignment vertical="center"/>
    </xf>
    <xf numFmtId="0" fontId="8" fillId="19" borderId="18" xfId="0" applyFont="1" applyFill="1" applyBorder="1" applyAlignment="1">
      <alignment vertical="center"/>
    </xf>
    <xf numFmtId="0" fontId="12" fillId="14" borderId="0" xfId="0" applyFont="1" applyFill="1"/>
    <xf numFmtId="0" fontId="13" fillId="15" borderId="0" xfId="0" applyFont="1" applyFill="1"/>
    <xf numFmtId="0" fontId="14" fillId="16" borderId="0" xfId="0" applyFont="1" applyFill="1"/>
    <xf numFmtId="0" fontId="3" fillId="11" borderId="19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15" fillId="0" borderId="22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128"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  <dxf>
      <font>
        <color rgb="FFC45C3A"/>
      </font>
      <fill>
        <patternFill patternType="solid">
          <bgColor rgb="FFF8E4D8"/>
        </patternFill>
      </fill>
    </dxf>
    <dxf>
      <font>
        <color rgb="FFB88600"/>
      </font>
      <fill>
        <patternFill patternType="solid">
          <bgColor rgb="FFFFF6CC"/>
        </patternFill>
      </fill>
    </dxf>
    <dxf>
      <font>
        <color rgb="FFC45C26"/>
      </font>
      <fill>
        <patternFill patternType="solid">
          <bgColor rgb="FFFFE8D2"/>
        </patternFill>
      </fill>
    </dxf>
    <dxf>
      <font>
        <color rgb="FF9CA3AF"/>
      </font>
      <fill>
        <patternFill>
          <bgColor rgb="FFFFFFFF"/>
        </patternFill>
      </fill>
    </dxf>
    <dxf>
      <font>
        <b/>
        <color rgb="FF374151"/>
      </font>
      <fill>
        <patternFill>
          <bgColor rgb="FFF5F6F8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8A5A00"/>
      </font>
      <fill>
        <patternFill>
          <bgColor rgb="FFFFF1B8"/>
        </patternFill>
      </fill>
    </dxf>
    <dxf>
      <font>
        <b/>
        <color rgb="FF166534"/>
      </font>
      <fill>
        <patternFill>
          <bgColor rgb="FFD9F2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showGridLines="0" workbookViewId="0">
      <selection sqref="A1:J1"/>
    </sheetView>
  </sheetViews>
  <sheetFormatPr baseColWidth="10" defaultColWidth="8.83203125" defaultRowHeight="15"/>
  <cols>
    <col min="1" max="1" width="20" customWidth="1"/>
    <col min="2" max="2" width="17" customWidth="1"/>
    <col min="3" max="3" width="14" customWidth="1"/>
    <col min="4" max="12" width="13" customWidth="1"/>
  </cols>
  <sheetData>
    <row r="1" spans="1:12" ht="25.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2" ht="22.5" customHeight="1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</row>
    <row r="4" spans="1:12">
      <c r="A4" s="14" t="s">
        <v>2</v>
      </c>
      <c r="B4" s="14" t="s">
        <v>3</v>
      </c>
      <c r="D4" s="25" t="s">
        <v>4</v>
      </c>
      <c r="E4" s="25" t="s">
        <v>3</v>
      </c>
    </row>
    <row r="5" spans="1:12">
      <c r="A5" s="15" t="s">
        <v>5</v>
      </c>
      <c r="B5" s="16" t="s">
        <v>6</v>
      </c>
      <c r="D5" s="44" t="s">
        <v>7</v>
      </c>
      <c r="E5" s="44" t="s">
        <v>8</v>
      </c>
    </row>
    <row r="6" spans="1:12">
      <c r="A6" s="17" t="s">
        <v>9</v>
      </c>
      <c r="B6" s="18" t="s">
        <v>10</v>
      </c>
      <c r="D6" s="45" t="s">
        <v>11</v>
      </c>
      <c r="E6" s="45" t="s">
        <v>12</v>
      </c>
    </row>
    <row r="7" spans="1:12">
      <c r="A7" s="19" t="s">
        <v>13</v>
      </c>
      <c r="B7" s="20" t="s">
        <v>14</v>
      </c>
      <c r="D7" s="46" t="s">
        <v>15</v>
      </c>
      <c r="E7" s="46" t="s">
        <v>16</v>
      </c>
    </row>
    <row r="8" spans="1:12">
      <c r="A8" s="21" t="s">
        <v>17</v>
      </c>
      <c r="B8" s="22" t="s">
        <v>18</v>
      </c>
    </row>
    <row r="9" spans="1:12">
      <c r="A9" s="23" t="s">
        <v>19</v>
      </c>
      <c r="B9" s="24" t="s">
        <v>20</v>
      </c>
    </row>
    <row r="12" spans="1:12">
      <c r="A12" s="47" t="s">
        <v>21</v>
      </c>
      <c r="B12" s="48" t="s">
        <v>22</v>
      </c>
      <c r="C12" s="48" t="s">
        <v>23</v>
      </c>
      <c r="D12" s="48" t="s">
        <v>24</v>
      </c>
      <c r="E12" s="48" t="s">
        <v>5</v>
      </c>
      <c r="F12" s="48" t="s">
        <v>9</v>
      </c>
      <c r="G12" s="48" t="s">
        <v>7</v>
      </c>
      <c r="H12" s="48" t="s">
        <v>11</v>
      </c>
      <c r="I12" s="48" t="s">
        <v>15</v>
      </c>
      <c r="J12" s="48" t="s">
        <v>13</v>
      </c>
      <c r="K12" s="48" t="s">
        <v>17</v>
      </c>
      <c r="L12" s="49" t="s">
        <v>19</v>
      </c>
    </row>
    <row r="13" spans="1:12">
      <c r="A13" s="50" t="s">
        <v>25</v>
      </c>
      <c r="B13" s="51" t="s">
        <v>26</v>
      </c>
      <c r="C13" s="51" t="s">
        <v>27</v>
      </c>
      <c r="D13" s="52">
        <f>30-COUNTIF(P_Q_TRIM!B5:G9,"待标注")</f>
        <v>30</v>
      </c>
      <c r="E13" s="52">
        <f>COUNTIF(P_Q_TRIM!B5:G9,"Branch")</f>
        <v>3</v>
      </c>
      <c r="F13" s="52">
        <f>COUNTIF(P_Q_TRIM!B5:G9,"Candidate")</f>
        <v>0</v>
      </c>
      <c r="G13" s="52">
        <f>COUNTIF(P_Q_TRIM!B5:G9,"Linear")</f>
        <v>0</v>
      </c>
      <c r="H13" s="52">
        <f>COUNTIF(P_Q_TRIM!B5:G9,"Acceleration")</f>
        <v>0</v>
      </c>
      <c r="I13" s="52">
        <f>COUNTIF(P_Q_TRIM!B5:G9,"Saturation")</f>
        <v>0</v>
      </c>
      <c r="J13" s="51">
        <f>COUNTIF(P_Q_TRIM!B5:G9,"Uncertain")</f>
        <v>3</v>
      </c>
      <c r="K13" s="51">
        <f>COUNTIF(P_Q_TRIM!B5:G9,"No branch")</f>
        <v>24</v>
      </c>
      <c r="L13" s="53">
        <f>COUNTIF(P_Q_TRIM!B5:G9,"待标注")</f>
        <v>0</v>
      </c>
    </row>
    <row r="14" spans="1:12">
      <c r="A14" s="50" t="s">
        <v>28</v>
      </c>
      <c r="B14" s="51" t="s">
        <v>26</v>
      </c>
      <c r="C14" s="51" t="s">
        <v>29</v>
      </c>
      <c r="D14" s="52">
        <f>30-COUNTIF(P_Q_RAW!B5:G9,"待标注")</f>
        <v>3</v>
      </c>
      <c r="E14" s="52">
        <f>COUNTIF(P_Q_RAW!B5:G9,"Branch")</f>
        <v>2</v>
      </c>
      <c r="F14" s="52">
        <f>COUNTIF(P_Q_RAW!B5:G9,"Candidate")</f>
        <v>0</v>
      </c>
      <c r="G14" s="52">
        <f>COUNTIF(P_Q_RAW!B5:G9,"Linear")</f>
        <v>0</v>
      </c>
      <c r="H14" s="52">
        <f>COUNTIF(P_Q_RAW!B5:G9,"Acceleration")</f>
        <v>0</v>
      </c>
      <c r="I14" s="52">
        <f>COUNTIF(P_Q_RAW!B5:G9,"Saturation")</f>
        <v>0</v>
      </c>
      <c r="J14" s="51">
        <f>COUNTIF(P_Q_RAW!B5:G9,"Uncertain")</f>
        <v>0</v>
      </c>
      <c r="K14" s="51">
        <f>COUNTIF(P_Q_RAW!B5:G9,"No branch")</f>
        <v>1</v>
      </c>
      <c r="L14" s="53">
        <f>COUNTIF(P_Q_RAW!B5:G9,"待标注")</f>
        <v>27</v>
      </c>
    </row>
    <row r="15" spans="1:12">
      <c r="A15" s="50" t="s">
        <v>30</v>
      </c>
      <c r="B15" s="51" t="s">
        <v>31</v>
      </c>
      <c r="C15" s="51" t="s">
        <v>29</v>
      </c>
      <c r="D15" s="52">
        <f>30-COUNTIF(ET_Q_RAW!B5:G9,"待标注")</f>
        <v>1</v>
      </c>
      <c r="E15" s="52">
        <f>COUNTIF(ET_Q_RAW!B5:G9,"Branch")</f>
        <v>0</v>
      </c>
      <c r="F15" s="52">
        <f>COUNTIF(ET_Q_RAW!B5:G9,"Candidate")</f>
        <v>0</v>
      </c>
      <c r="G15" s="52">
        <f>COUNTIF(ET_Q_RAW!B5:G9,"Linear")</f>
        <v>0</v>
      </c>
      <c r="H15" s="52">
        <f>COUNTIF(ET_Q_RAW!B5:G9,"Acceleration")</f>
        <v>0</v>
      </c>
      <c r="I15" s="52">
        <f>COUNTIF(ET_Q_RAW!B5:G9,"Saturation")</f>
        <v>0</v>
      </c>
      <c r="J15" s="51">
        <f>COUNTIF(ET_Q_RAW!B5:G9,"Uncertain")</f>
        <v>0</v>
      </c>
      <c r="K15" s="51">
        <f>COUNTIF(ET_Q_RAW!B5:G9,"No branch")</f>
        <v>1</v>
      </c>
      <c r="L15" s="53">
        <f>COUNTIF(ET_Q_RAW!B5:G9,"待标注")</f>
        <v>29</v>
      </c>
    </row>
    <row r="16" spans="1:12">
      <c r="A16" s="50" t="s">
        <v>32</v>
      </c>
      <c r="B16" s="51" t="s">
        <v>33</v>
      </c>
      <c r="C16" s="51" t="s">
        <v>29</v>
      </c>
      <c r="D16" s="52">
        <f>30-COUNTIF(RSDS_Q_RAW!B5:G9,"待标注")</f>
        <v>1</v>
      </c>
      <c r="E16" s="52">
        <f>COUNTIF(RSDS_Q_RAW!B5:G9,"Branch")</f>
        <v>0</v>
      </c>
      <c r="F16" s="52">
        <f>COUNTIF(RSDS_Q_RAW!B5:G9,"Candidate")</f>
        <v>0</v>
      </c>
      <c r="G16" s="52">
        <f>COUNTIF(RSDS_Q_RAW!B5:G9,"Linear")</f>
        <v>0</v>
      </c>
      <c r="H16" s="52">
        <f>COUNTIF(RSDS_Q_RAW!B5:G9,"Acceleration")</f>
        <v>0</v>
      </c>
      <c r="I16" s="52">
        <f>COUNTIF(RSDS_Q_RAW!B5:G9,"Saturation")</f>
        <v>0</v>
      </c>
      <c r="J16" s="51">
        <f>COUNTIF(RSDS_Q_RAW!B5:G9,"Uncertain")</f>
        <v>0</v>
      </c>
      <c r="K16" s="51">
        <f>COUNTIF(RSDS_Q_RAW!B5:G9,"No branch")</f>
        <v>1</v>
      </c>
      <c r="L16" s="53">
        <f>COUNTIF(RSDS_Q_RAW!B5:G9,"待标注")</f>
        <v>29</v>
      </c>
    </row>
    <row r="17" spans="1:12">
      <c r="A17" s="50" t="s">
        <v>34</v>
      </c>
      <c r="B17" s="51" t="s">
        <v>35</v>
      </c>
      <c r="C17" s="51" t="s">
        <v>29</v>
      </c>
      <c r="D17" s="52">
        <f>30-COUNTIF(RLDS_Q_RAW!B5:G9,"待标注")</f>
        <v>1</v>
      </c>
      <c r="E17" s="52">
        <f>COUNTIF(RLDS_Q_RAW!B5:G9,"Branch")</f>
        <v>0</v>
      </c>
      <c r="F17" s="52">
        <f>COUNTIF(RLDS_Q_RAW!B5:G9,"Candidate")</f>
        <v>0</v>
      </c>
      <c r="G17" s="52">
        <f>COUNTIF(RLDS_Q_RAW!B5:G9,"Linear")</f>
        <v>0</v>
      </c>
      <c r="H17" s="52">
        <f>COUNTIF(RLDS_Q_RAW!B5:G9,"Acceleration")</f>
        <v>0</v>
      </c>
      <c r="I17" s="52">
        <f>COUNTIF(RLDS_Q_RAW!B5:G9,"Saturation")</f>
        <v>0</v>
      </c>
      <c r="J17" s="51">
        <f>COUNTIF(RLDS_Q_RAW!B5:G9,"Uncertain")</f>
        <v>0</v>
      </c>
      <c r="K17" s="51">
        <f>COUNTIF(RLDS_Q_RAW!B5:G9,"No branch")</f>
        <v>1</v>
      </c>
      <c r="L17" s="53">
        <f>COUNTIF(RLDS_Q_RAW!B5:G9,"待标注")</f>
        <v>29</v>
      </c>
    </row>
    <row r="18" spans="1:12">
      <c r="A18" s="50" t="s">
        <v>36</v>
      </c>
      <c r="B18" s="51" t="s">
        <v>37</v>
      </c>
      <c r="C18" s="51" t="s">
        <v>29</v>
      </c>
      <c r="D18" s="52">
        <f>30-COUNTIF(HFLS_Q_RAW!B5:G9,"待标注")</f>
        <v>1</v>
      </c>
      <c r="E18" s="52">
        <f>COUNTIF(HFLS_Q_RAW!B5:G9,"Branch")</f>
        <v>0</v>
      </c>
      <c r="F18" s="52">
        <f>COUNTIF(HFLS_Q_RAW!B5:G9,"Candidate")</f>
        <v>0</v>
      </c>
      <c r="G18" s="52">
        <f>COUNTIF(HFLS_Q_RAW!B5:G9,"Linear")</f>
        <v>0</v>
      </c>
      <c r="H18" s="52">
        <f>COUNTIF(HFLS_Q_RAW!B5:G9,"Acceleration")</f>
        <v>0</v>
      </c>
      <c r="I18" s="52">
        <f>COUNTIF(HFLS_Q_RAW!B5:G9,"Saturation")</f>
        <v>0</v>
      </c>
      <c r="J18" s="51">
        <f>COUNTIF(HFLS_Q_RAW!B5:G9,"Uncertain")</f>
        <v>0</v>
      </c>
      <c r="K18" s="51">
        <f>COUNTIF(HFLS_Q_RAW!B5:G9,"No branch")</f>
        <v>1</v>
      </c>
      <c r="L18" s="53">
        <f>COUNTIF(HFLS_Q_RAW!B5:G9,"待标注")</f>
        <v>29</v>
      </c>
    </row>
    <row r="19" spans="1:12">
      <c r="A19" s="50" t="s">
        <v>38</v>
      </c>
      <c r="B19" s="51" t="s">
        <v>39</v>
      </c>
      <c r="C19" s="51" t="s">
        <v>29</v>
      </c>
      <c r="D19" s="52">
        <f>30-COUNTIF(HFSS_Q_RAW!B5:G9,"待标注")</f>
        <v>1</v>
      </c>
      <c r="E19" s="52">
        <f>COUNTIF(HFSS_Q_RAW!B5:G9,"Branch")</f>
        <v>0</v>
      </c>
      <c r="F19" s="52">
        <f>COUNTIF(HFSS_Q_RAW!B5:G9,"Candidate")</f>
        <v>0</v>
      </c>
      <c r="G19" s="52">
        <f>COUNTIF(HFSS_Q_RAW!B5:G9,"Linear")</f>
        <v>0</v>
      </c>
      <c r="H19" s="52">
        <f>COUNTIF(HFSS_Q_RAW!B5:G9,"Acceleration")</f>
        <v>0</v>
      </c>
      <c r="I19" s="52">
        <f>COUNTIF(HFSS_Q_RAW!B5:G9,"Saturation")</f>
        <v>0</v>
      </c>
      <c r="J19" s="51">
        <f>COUNTIF(HFSS_Q_RAW!B5:G9,"Uncertain")</f>
        <v>0</v>
      </c>
      <c r="K19" s="51">
        <f>COUNTIF(HFSS_Q_RAW!B5:G9,"No branch")</f>
        <v>1</v>
      </c>
      <c r="L19" s="53">
        <f>COUNTIF(HFSS_Q_RAW!B5:G9,"待标注")</f>
        <v>29</v>
      </c>
    </row>
    <row r="20" spans="1:12">
      <c r="A20" s="50" t="s">
        <v>40</v>
      </c>
      <c r="B20" s="51" t="s">
        <v>39</v>
      </c>
      <c r="C20" s="51" t="s">
        <v>27</v>
      </c>
      <c r="D20" s="52">
        <f>30-COUNTIF(HFSS_Q_TRIM!B5:G9,"待标注")</f>
        <v>3</v>
      </c>
      <c r="E20" s="52">
        <f>COUNTIF(HFSS_Q_TRIM!B5:G9,"Branch")</f>
        <v>0</v>
      </c>
      <c r="F20" s="52">
        <f>COUNTIF(HFSS_Q_TRIM!B5:G9,"Candidate")</f>
        <v>0</v>
      </c>
      <c r="G20" s="52">
        <f>COUNTIF(HFSS_Q_TRIM!B5:G9,"Linear")</f>
        <v>0</v>
      </c>
      <c r="H20" s="52">
        <f>COUNTIF(HFSS_Q_TRIM!B5:G9,"Acceleration")</f>
        <v>0</v>
      </c>
      <c r="I20" s="52">
        <f>COUNTIF(HFSS_Q_TRIM!B5:G9,"Saturation")</f>
        <v>0</v>
      </c>
      <c r="J20" s="51">
        <f>COUNTIF(HFSS_Q_TRIM!B5:G9,"Uncertain")</f>
        <v>0</v>
      </c>
      <c r="K20" s="51">
        <f>COUNTIF(HFSS_Q_TRIM!B5:G9,"No branch")</f>
        <v>3</v>
      </c>
      <c r="L20" s="53">
        <f>COUNTIF(HFSS_Q_TRIM!B5:G9,"待标注")</f>
        <v>27</v>
      </c>
    </row>
    <row r="21" spans="1:12">
      <c r="A21" s="50" t="s">
        <v>41</v>
      </c>
      <c r="B21" s="51" t="s">
        <v>42</v>
      </c>
      <c r="C21" s="51" t="s">
        <v>29</v>
      </c>
      <c r="D21" s="52">
        <f>30-COUNTIF(P_ET_RAW!B5:G9,"待标注")</f>
        <v>2</v>
      </c>
      <c r="E21" s="52">
        <f>COUNTIF(P_ET_RAW!B5:G9,"Branch")</f>
        <v>0</v>
      </c>
      <c r="F21" s="52">
        <f>COUNTIF(P_ET_RAW!B5:G9,"Candidate")</f>
        <v>0</v>
      </c>
      <c r="G21" s="52">
        <f>COUNTIF(P_ET_RAW!B5:G9,"Linear")</f>
        <v>0</v>
      </c>
      <c r="H21" s="52">
        <f>COUNTIF(P_ET_RAW!B5:G9,"Acceleration")</f>
        <v>0</v>
      </c>
      <c r="I21" s="52">
        <f>COUNTIF(P_ET_RAW!B5:G9,"Saturation")</f>
        <v>0</v>
      </c>
      <c r="J21" s="51">
        <f>COUNTIF(P_ET_RAW!B5:G9,"Uncertain")</f>
        <v>0</v>
      </c>
      <c r="K21" s="51">
        <f>COUNTIF(P_ET_RAW!B5:G9,"No branch")</f>
        <v>2</v>
      </c>
      <c r="L21" s="53">
        <f>COUNTIF(P_ET_RAW!B5:G9,"待标注")</f>
        <v>28</v>
      </c>
    </row>
    <row r="22" spans="1:12">
      <c r="A22" s="50" t="s">
        <v>43</v>
      </c>
      <c r="B22" s="51" t="s">
        <v>44</v>
      </c>
      <c r="C22" s="51" t="s">
        <v>27</v>
      </c>
      <c r="D22" s="52">
        <f>30-COUNTIF(MRSOS_Q_TRIM!B5:G9,"待标注")</f>
        <v>1</v>
      </c>
      <c r="E22" s="52">
        <f>COUNTIF(MRSOS_Q_TRIM!B5:G9,"Branch")</f>
        <v>0</v>
      </c>
      <c r="F22" s="52">
        <f>COUNTIF(MRSOS_Q_TRIM!B5:G9,"Candidate")</f>
        <v>0</v>
      </c>
      <c r="G22" s="52">
        <f>COUNTIF(MRSOS_Q_TRIM!B5:G9,"Linear")</f>
        <v>0</v>
      </c>
      <c r="H22" s="52">
        <f>COUNTIF(MRSOS_Q_TRIM!B5:G9,"Acceleration")</f>
        <v>0</v>
      </c>
      <c r="I22" s="52">
        <f>COUNTIF(MRSOS_Q_TRIM!B5:G9,"Saturation")</f>
        <v>0</v>
      </c>
      <c r="J22" s="51">
        <f>COUNTIF(MRSOS_Q_TRIM!B5:G9,"Uncertain")</f>
        <v>0</v>
      </c>
      <c r="K22" s="51">
        <f>COUNTIF(MRSOS_Q_TRIM!B5:G9,"No branch")</f>
        <v>1</v>
      </c>
      <c r="L22" s="53">
        <f>COUNTIF(MRSOS_Q_TRIM!B5:G9,"待标注")</f>
        <v>29</v>
      </c>
    </row>
    <row r="23" spans="1:12">
      <c r="A23" s="50" t="s">
        <v>45</v>
      </c>
      <c r="B23" s="51" t="s">
        <v>46</v>
      </c>
      <c r="C23" s="51" t="s">
        <v>29</v>
      </c>
      <c r="D23" s="52">
        <f>30-COUNTIF(RLUS_Q_RAW!B5:G9,"待标注")</f>
        <v>5</v>
      </c>
      <c r="E23" s="52">
        <f>COUNTIF(RLUS_Q_RAW!B5:G9,"Branch")</f>
        <v>0</v>
      </c>
      <c r="F23" s="52">
        <f>COUNTIF(RLUS_Q_RAW!B5:G9,"Candidate")</f>
        <v>0</v>
      </c>
      <c r="G23" s="52">
        <f>COUNTIF(RLUS_Q_RAW!B5:G9,"Linear")</f>
        <v>0</v>
      </c>
      <c r="H23" s="52">
        <f>COUNTIF(RLUS_Q_RAW!B5:G9,"Acceleration")</f>
        <v>0</v>
      </c>
      <c r="I23" s="52">
        <f>COUNTIF(RLUS_Q_RAW!B5:G9,"Saturation")</f>
        <v>0</v>
      </c>
      <c r="J23" s="51">
        <f>COUNTIF(RLUS_Q_RAW!B5:G9,"Uncertain")</f>
        <v>0</v>
      </c>
      <c r="K23" s="51">
        <f>COUNTIF(RLUS_Q_RAW!B5:G9,"No branch")</f>
        <v>5</v>
      </c>
      <c r="L23" s="53">
        <f>COUNTIF(RLUS_Q_RAW!B5:G9,"待标注")</f>
        <v>25</v>
      </c>
    </row>
    <row r="24" spans="1:12">
      <c r="A24" s="50" t="s">
        <v>47</v>
      </c>
      <c r="B24" s="51" t="s">
        <v>46</v>
      </c>
      <c r="C24" s="51" t="s">
        <v>27</v>
      </c>
      <c r="D24" s="52">
        <f>30-COUNTIF(RLUS_Q_TRIM!B5:G9,"待标注")</f>
        <v>4</v>
      </c>
      <c r="E24" s="52">
        <f>COUNTIF(RLUS_Q_TRIM!B5:G9,"Branch")</f>
        <v>0</v>
      </c>
      <c r="F24" s="52">
        <f>COUNTIF(RLUS_Q_TRIM!B5:G9,"Candidate")</f>
        <v>0</v>
      </c>
      <c r="G24" s="52">
        <f>COUNTIF(RLUS_Q_TRIM!B5:G9,"Linear")</f>
        <v>0</v>
      </c>
      <c r="H24" s="52">
        <f>COUNTIF(RLUS_Q_TRIM!B5:G9,"Acceleration")</f>
        <v>0</v>
      </c>
      <c r="I24" s="52">
        <f>COUNTIF(RLUS_Q_TRIM!B5:G9,"Saturation")</f>
        <v>0</v>
      </c>
      <c r="J24" s="51">
        <f>COUNTIF(RLUS_Q_TRIM!B5:G9,"Uncertain")</f>
        <v>0</v>
      </c>
      <c r="K24" s="51">
        <f>COUNTIF(RLUS_Q_TRIM!B5:G9,"No branch")</f>
        <v>4</v>
      </c>
      <c r="L24" s="53">
        <f>COUNTIF(RLUS_Q_TRIM!B5:G9,"待标注")</f>
        <v>26</v>
      </c>
    </row>
    <row r="25" spans="1:12">
      <c r="A25" s="50" t="s">
        <v>48</v>
      </c>
      <c r="B25" s="51" t="s">
        <v>49</v>
      </c>
      <c r="C25" s="51" t="s">
        <v>27</v>
      </c>
      <c r="D25" s="52">
        <f>30-COUNTIF(MRROS_Q_TRIM!B5:G9,"待标注")</f>
        <v>3</v>
      </c>
      <c r="E25" s="52">
        <f>COUNTIF(MRROS_Q_TRIM!B5:G9,"Branch")</f>
        <v>0</v>
      </c>
      <c r="F25" s="52">
        <f>COUNTIF(MRROS_Q_TRIM!B5:G9,"Candidate")</f>
        <v>1</v>
      </c>
      <c r="G25" s="52">
        <f>COUNTIF(MRROS_Q_TRIM!B5:G9,"Linear")</f>
        <v>0</v>
      </c>
      <c r="H25" s="52">
        <f>COUNTIF(MRROS_Q_TRIM!B5:G9,"Acceleration")</f>
        <v>0</v>
      </c>
      <c r="I25" s="52">
        <f>COUNTIF(MRROS_Q_TRIM!B5:G9,"Saturation")</f>
        <v>0</v>
      </c>
      <c r="J25" s="51">
        <f>COUNTIF(MRROS_Q_TRIM!B5:G9,"Uncertain")</f>
        <v>2</v>
      </c>
      <c r="K25" s="51">
        <f>COUNTIF(MRROS_Q_TRIM!B5:G9,"No branch")</f>
        <v>0</v>
      </c>
      <c r="L25" s="53">
        <f>COUNTIF(MRROS_Q_TRIM!B5:G9,"待标注")</f>
        <v>27</v>
      </c>
    </row>
    <row r="26" spans="1:12">
      <c r="A26" s="50" t="s">
        <v>50</v>
      </c>
      <c r="B26" s="51" t="s">
        <v>37</v>
      </c>
      <c r="C26" s="51" t="s">
        <v>27</v>
      </c>
      <c r="D26" s="52">
        <f>30-COUNTIF(HFLS_Q_TRIM!B5:G9,"待标注")</f>
        <v>2</v>
      </c>
      <c r="E26" s="52">
        <f>COUNTIF(HFLS_Q_TRIM!B5:G9,"Branch")</f>
        <v>0</v>
      </c>
      <c r="F26" s="52">
        <f>COUNTIF(HFLS_Q_TRIM!B5:G9,"Candidate")</f>
        <v>2</v>
      </c>
      <c r="G26" s="52">
        <f>COUNTIF(HFLS_Q_TRIM!B5:G9,"Linear")</f>
        <v>0</v>
      </c>
      <c r="H26" s="52">
        <f>COUNTIF(HFLS_Q_TRIM!B5:G9,"Acceleration")</f>
        <v>0</v>
      </c>
      <c r="I26" s="52">
        <f>COUNTIF(HFLS_Q_TRIM!B5:G9,"Saturation")</f>
        <v>0</v>
      </c>
      <c r="J26" s="51">
        <f>COUNTIF(HFLS_Q_TRIM!B5:G9,"Uncertain")</f>
        <v>0</v>
      </c>
      <c r="K26" s="51">
        <f>COUNTIF(HFLS_Q_TRIM!B5:G9,"No branch")</f>
        <v>0</v>
      </c>
      <c r="L26" s="53">
        <f>COUNTIF(HFLS_Q_TRIM!B5:G9,"待标注")</f>
        <v>28</v>
      </c>
    </row>
    <row r="27" spans="1:12">
      <c r="A27" s="50" t="s">
        <v>51</v>
      </c>
      <c r="B27" s="51" t="s">
        <v>52</v>
      </c>
      <c r="C27" s="51" t="s">
        <v>27</v>
      </c>
      <c r="D27" s="52">
        <f>30-COUNTIF(PRSN_Q_TRIM!B5:G9,"待标注")</f>
        <v>4</v>
      </c>
      <c r="E27" s="52">
        <f>COUNTIF(PRSN_Q_TRIM!B5:G9,"Branch")</f>
        <v>0</v>
      </c>
      <c r="F27" s="52">
        <f>COUNTIF(PRSN_Q_TRIM!B5:G9,"Candidate")</f>
        <v>0</v>
      </c>
      <c r="G27" s="52">
        <f>COUNTIF(PRSN_Q_TRIM!B5:G9,"Linear")</f>
        <v>0</v>
      </c>
      <c r="H27" s="52">
        <f>COUNTIF(PRSN_Q_TRIM!B5:G9,"Acceleration")</f>
        <v>0</v>
      </c>
      <c r="I27" s="52">
        <f>COUNTIF(PRSN_Q_TRIM!B5:G9,"Saturation")</f>
        <v>0</v>
      </c>
      <c r="J27" s="51">
        <f>COUNTIF(PRSN_Q_TRIM!B5:G9,"Uncertain")</f>
        <v>4</v>
      </c>
      <c r="K27" s="51">
        <f>COUNTIF(PRSN_Q_TRIM!B5:G9,"No branch")</f>
        <v>0</v>
      </c>
      <c r="L27" s="53">
        <f>COUNTIF(PRSN_Q_TRIM!B5:G9,"待标注")</f>
        <v>26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showGridLines="0" tabSelected="1" workbookViewId="0">
      <selection activeCell="G24" sqref="G24"/>
    </sheetView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53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17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5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13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13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13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5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5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127" priority="1">
      <formula>B5="Branch"</formula>
    </cfRule>
    <cfRule type="expression" dxfId="126" priority="2">
      <formula>B5="Candidate"</formula>
    </cfRule>
    <cfRule type="expression" dxfId="125" priority="3">
      <formula>B5="Uncertain"</formula>
    </cfRule>
    <cfRule type="expression" dxfId="124" priority="4">
      <formula>B5="No branch"</formula>
    </cfRule>
    <cfRule type="expression" dxfId="123" priority="5">
      <formula>B5="待标注"</formula>
    </cfRule>
    <cfRule type="expression" dxfId="122" priority="6">
      <formula>B5="Linear"</formula>
    </cfRule>
    <cfRule type="expression" dxfId="121" priority="7">
      <formula>B5="Acceleration"</formula>
    </cfRule>
    <cfRule type="expression" dxfId="120" priority="8">
      <formula>B5="Saturation"</formula>
    </cfRule>
  </conditionalFormatting>
  <dataValidations count="1">
    <dataValidation type="list" sqref="B5:G9" xr:uid="{00000000-0002-0000-01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73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17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5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5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119" priority="1">
      <formula>B5="Branch"</formula>
    </cfRule>
    <cfRule type="expression" dxfId="118" priority="2">
      <formula>B5="Candidate"</formula>
    </cfRule>
    <cfRule type="expression" dxfId="117" priority="3">
      <formula>B5="Uncertain"</formula>
    </cfRule>
    <cfRule type="expression" dxfId="116" priority="4">
      <formula>B5="No branch"</formula>
    </cfRule>
    <cfRule type="expression" dxfId="115" priority="5">
      <formula>B5="待标注"</formula>
    </cfRule>
    <cfRule type="expression" dxfId="114" priority="6">
      <formula>B5="Linear"</formula>
    </cfRule>
    <cfRule type="expression" dxfId="113" priority="7">
      <formula>B5="Acceleration"</formula>
    </cfRule>
    <cfRule type="expression" dxfId="112" priority="8">
      <formula>B5="Saturation"</formula>
    </cfRule>
  </conditionalFormatting>
  <dataValidations count="1">
    <dataValidation type="list" sqref="B5:G9" xr:uid="{00000000-0002-0000-02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74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17</v>
      </c>
      <c r="G5" s="3" t="s">
        <v>19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111" priority="1">
      <formula>B5="Branch"</formula>
    </cfRule>
    <cfRule type="expression" dxfId="110" priority="2">
      <formula>B5="Candidate"</formula>
    </cfRule>
    <cfRule type="expression" dxfId="109" priority="3">
      <formula>B5="Uncertain"</formula>
    </cfRule>
    <cfRule type="expression" dxfId="108" priority="4">
      <formula>B5="No branch"</formula>
    </cfRule>
    <cfRule type="expression" dxfId="107" priority="5">
      <formula>B5="待标注"</formula>
    </cfRule>
    <cfRule type="expression" dxfId="106" priority="6">
      <formula>B5="Linear"</formula>
    </cfRule>
    <cfRule type="expression" dxfId="105" priority="7">
      <formula>B5="Acceleration"</formula>
    </cfRule>
    <cfRule type="expression" dxfId="104" priority="8">
      <formula>B5="Saturation"</formula>
    </cfRule>
  </conditionalFormatting>
  <dataValidations count="1">
    <dataValidation type="list" sqref="B5:G9" xr:uid="{00000000-0002-0000-03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75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19</v>
      </c>
      <c r="C5" s="3" t="s">
        <v>17</v>
      </c>
      <c r="D5" s="3" t="s">
        <v>19</v>
      </c>
      <c r="E5" s="3" t="s">
        <v>19</v>
      </c>
      <c r="F5" s="3" t="s">
        <v>19</v>
      </c>
      <c r="G5" s="3" t="s">
        <v>19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103" priority="1">
      <formula>B5="Branch"</formula>
    </cfRule>
    <cfRule type="expression" dxfId="102" priority="2">
      <formula>B5="Candidate"</formula>
    </cfRule>
    <cfRule type="expression" dxfId="101" priority="3">
      <formula>B5="Uncertain"</formula>
    </cfRule>
    <cfRule type="expression" dxfId="100" priority="4">
      <formula>B5="No branch"</formula>
    </cfRule>
    <cfRule type="expression" dxfId="99" priority="5">
      <formula>B5="待标注"</formula>
    </cfRule>
    <cfRule type="expression" dxfId="98" priority="6">
      <formula>B5="Linear"</formula>
    </cfRule>
    <cfRule type="expression" dxfId="97" priority="7">
      <formula>B5="Acceleration"</formula>
    </cfRule>
    <cfRule type="expression" dxfId="96" priority="8">
      <formula>B5="Saturation"</formula>
    </cfRule>
  </conditionalFormatting>
  <dataValidations count="1">
    <dataValidation type="list" sqref="B5:G9" xr:uid="{00000000-0002-0000-04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76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19</v>
      </c>
      <c r="C5" s="3" t="s">
        <v>17</v>
      </c>
      <c r="D5" s="3" t="s">
        <v>19</v>
      </c>
      <c r="E5" s="3" t="s">
        <v>19</v>
      </c>
      <c r="F5" s="3" t="s">
        <v>19</v>
      </c>
      <c r="G5" s="3" t="s">
        <v>19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95" priority="1">
      <formula>B5="Branch"</formula>
    </cfRule>
    <cfRule type="expression" dxfId="94" priority="2">
      <formula>B5="Candidate"</formula>
    </cfRule>
    <cfRule type="expression" dxfId="93" priority="3">
      <formula>B5="Uncertain"</formula>
    </cfRule>
    <cfRule type="expression" dxfId="92" priority="4">
      <formula>B5="No branch"</formula>
    </cfRule>
    <cfRule type="expression" dxfId="91" priority="5">
      <formula>B5="待标注"</formula>
    </cfRule>
    <cfRule type="expression" dxfId="90" priority="6">
      <formula>B5="Linear"</formula>
    </cfRule>
    <cfRule type="expression" dxfId="89" priority="7">
      <formula>B5="Acceleration"</formula>
    </cfRule>
    <cfRule type="expression" dxfId="88" priority="8">
      <formula>B5="Saturation"</formula>
    </cfRule>
  </conditionalFormatting>
  <dataValidations count="1">
    <dataValidation type="list" sqref="B5:G9" xr:uid="{00000000-0002-0000-05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77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17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87" priority="1">
      <formula>B5="Branch"</formula>
    </cfRule>
    <cfRule type="expression" dxfId="86" priority="2">
      <formula>B5="Candidate"</formula>
    </cfRule>
    <cfRule type="expression" dxfId="85" priority="3">
      <formula>B5="Uncertain"</formula>
    </cfRule>
    <cfRule type="expression" dxfId="84" priority="4">
      <formula>B5="No branch"</formula>
    </cfRule>
    <cfRule type="expression" dxfId="83" priority="5">
      <formula>B5="待标注"</formula>
    </cfRule>
    <cfRule type="expression" dxfId="82" priority="6">
      <formula>B5="Linear"</formula>
    </cfRule>
    <cfRule type="expression" dxfId="81" priority="7">
      <formula>B5="Acceleration"</formula>
    </cfRule>
    <cfRule type="expression" dxfId="80" priority="8">
      <formula>B5="Saturation"</formula>
    </cfRule>
  </conditionalFormatting>
  <dataValidations count="1">
    <dataValidation type="list" sqref="B5:G9" xr:uid="{00000000-0002-0000-06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78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19</v>
      </c>
      <c r="C5" s="3" t="s">
        <v>19</v>
      </c>
      <c r="D5" s="3" t="s">
        <v>17</v>
      </c>
      <c r="E5" s="3" t="s">
        <v>19</v>
      </c>
      <c r="F5" s="3" t="s">
        <v>19</v>
      </c>
      <c r="G5" s="3" t="s">
        <v>19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79" priority="1">
      <formula>B5="Branch"</formula>
    </cfRule>
    <cfRule type="expression" dxfId="78" priority="2">
      <formula>B5="Candidate"</formula>
    </cfRule>
    <cfRule type="expression" dxfId="77" priority="3">
      <formula>B5="Uncertain"</formula>
    </cfRule>
    <cfRule type="expression" dxfId="76" priority="4">
      <formula>B5="No branch"</formula>
    </cfRule>
    <cfRule type="expression" dxfId="75" priority="5">
      <formula>B5="待标注"</formula>
    </cfRule>
    <cfRule type="expression" dxfId="74" priority="6">
      <formula>B5="Linear"</formula>
    </cfRule>
    <cfRule type="expression" dxfId="73" priority="7">
      <formula>B5="Acceleration"</formula>
    </cfRule>
    <cfRule type="expression" dxfId="72" priority="8">
      <formula>B5="Saturation"</formula>
    </cfRule>
  </conditionalFormatting>
  <dataValidations count="1">
    <dataValidation type="list" sqref="B5:G9" xr:uid="{00000000-0002-0000-07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79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19</v>
      </c>
      <c r="C5" s="3" t="s">
        <v>19</v>
      </c>
      <c r="D5" s="3" t="s">
        <v>17</v>
      </c>
      <c r="E5" s="3" t="s">
        <v>19</v>
      </c>
      <c r="F5" s="3" t="s">
        <v>19</v>
      </c>
      <c r="G5" s="3" t="s">
        <v>17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17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71" priority="1">
      <formula>B5="Branch"</formula>
    </cfRule>
    <cfRule type="expression" dxfId="70" priority="2">
      <formula>B5="Candidate"</formula>
    </cfRule>
    <cfRule type="expression" dxfId="69" priority="3">
      <formula>B5="Uncertain"</formula>
    </cfRule>
    <cfRule type="expression" dxfId="68" priority="4">
      <formula>B5="No branch"</formula>
    </cfRule>
    <cfRule type="expression" dxfId="67" priority="5">
      <formula>B5="待标注"</formula>
    </cfRule>
    <cfRule type="expression" dxfId="66" priority="6">
      <formula>B5="Linear"</formula>
    </cfRule>
    <cfRule type="expression" dxfId="65" priority="7">
      <formula>B5="Acceleration"</formula>
    </cfRule>
    <cfRule type="expression" dxfId="64" priority="8">
      <formula>B5="Saturation"</formula>
    </cfRule>
  </conditionalFormatting>
  <dataValidations count="1">
    <dataValidation type="list" sqref="B5:G9" xr:uid="{00000000-0002-0000-08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80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17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17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63" priority="1">
      <formula>B5="Branch"</formula>
    </cfRule>
    <cfRule type="expression" dxfId="62" priority="2">
      <formula>B5="Candidate"</formula>
    </cfRule>
    <cfRule type="expression" dxfId="61" priority="3">
      <formula>B5="Uncertain"</formula>
    </cfRule>
    <cfRule type="expression" dxfId="60" priority="4">
      <formula>B5="No branch"</formula>
    </cfRule>
    <cfRule type="expression" dxfId="59" priority="5">
      <formula>B5="待标注"</formula>
    </cfRule>
    <cfRule type="expression" dxfId="58" priority="6">
      <formula>B5="Linear"</formula>
    </cfRule>
    <cfRule type="expression" dxfId="57" priority="7">
      <formula>B5="Acceleration"</formula>
    </cfRule>
    <cfRule type="expression" dxfId="56" priority="8">
      <formula>B5="Saturation"</formula>
    </cfRule>
  </conditionalFormatting>
  <dataValidations count="1">
    <dataValidation type="list" sqref="B5:G9" xr:uid="{00000000-0002-0000-09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81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17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55" priority="1">
      <formula>B5="Branch"</formula>
    </cfRule>
    <cfRule type="expression" dxfId="54" priority="2">
      <formula>B5="Candidate"</formula>
    </cfRule>
    <cfRule type="expression" dxfId="53" priority="3">
      <formula>B5="Uncertain"</formula>
    </cfRule>
    <cfRule type="expression" dxfId="52" priority="4">
      <formula>B5="No branch"</formula>
    </cfRule>
    <cfRule type="expression" dxfId="51" priority="5">
      <formula>B5="待标注"</formula>
    </cfRule>
    <cfRule type="expression" dxfId="50" priority="6">
      <formula>B5="Linear"</formula>
    </cfRule>
    <cfRule type="expression" dxfId="49" priority="7">
      <formula>B5="Acceleration"</formula>
    </cfRule>
    <cfRule type="expression" dxfId="48" priority="8">
      <formula>B5="Saturation"</formula>
    </cfRule>
  </conditionalFormatting>
  <dataValidations count="1">
    <dataValidation type="list" sqref="B5:G9" xr:uid="{00000000-0002-0000-0A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82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17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17</v>
      </c>
      <c r="C8" s="3" t="s">
        <v>19</v>
      </c>
      <c r="D8" s="3" t="s">
        <v>17</v>
      </c>
      <c r="E8" s="3" t="s">
        <v>19</v>
      </c>
      <c r="F8" s="3" t="s">
        <v>19</v>
      </c>
      <c r="G8" s="3" t="s">
        <v>17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17</v>
      </c>
      <c r="D9" s="3" t="s">
        <v>19</v>
      </c>
      <c r="E9" s="3" t="s">
        <v>19</v>
      </c>
      <c r="F9" s="3" t="s">
        <v>19</v>
      </c>
      <c r="G9" s="3" t="s">
        <v>19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47" priority="1">
      <formula>B5="Branch"</formula>
    </cfRule>
    <cfRule type="expression" dxfId="46" priority="2">
      <formula>B5="Candidate"</formula>
    </cfRule>
    <cfRule type="expression" dxfId="45" priority="3">
      <formula>B5="Uncertain"</formula>
    </cfRule>
    <cfRule type="expression" dxfId="44" priority="4">
      <formula>B5="No branch"</formula>
    </cfRule>
    <cfRule type="expression" dxfId="43" priority="5">
      <formula>B5="待标注"</formula>
    </cfRule>
    <cfRule type="expression" dxfId="42" priority="6">
      <formula>B5="Linear"</formula>
    </cfRule>
    <cfRule type="expression" dxfId="41" priority="7">
      <formula>B5="Acceleration"</formula>
    </cfRule>
    <cfRule type="expression" dxfId="40" priority="8">
      <formula>B5="Saturation"</formula>
    </cfRule>
  </conditionalFormatting>
  <dataValidations count="1">
    <dataValidation type="list" sqref="B5:G9" xr:uid="{00000000-0002-0000-0B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83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17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17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17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17</v>
      </c>
      <c r="D9" s="3" t="s">
        <v>19</v>
      </c>
      <c r="E9" s="3" t="s">
        <v>19</v>
      </c>
      <c r="F9" s="3" t="s">
        <v>19</v>
      </c>
      <c r="G9" s="3" t="s">
        <v>19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39" priority="1">
      <formula>B5="Branch"</formula>
    </cfRule>
    <cfRule type="expression" dxfId="38" priority="2">
      <formula>B5="Candidate"</formula>
    </cfRule>
    <cfRule type="expression" dxfId="37" priority="3">
      <formula>B5="Uncertain"</formula>
    </cfRule>
    <cfRule type="expression" dxfId="36" priority="4">
      <formula>B5="No branch"</formula>
    </cfRule>
    <cfRule type="expression" dxfId="35" priority="5">
      <formula>B5="待标注"</formula>
    </cfRule>
    <cfRule type="expression" dxfId="34" priority="6">
      <formula>B5="Linear"</formula>
    </cfRule>
    <cfRule type="expression" dxfId="33" priority="7">
      <formula>B5="Acceleration"</formula>
    </cfRule>
    <cfRule type="expression" dxfId="32" priority="8">
      <formula>B5="Saturation"</formula>
    </cfRule>
  </conditionalFormatting>
  <dataValidations count="1">
    <dataValidation type="list" sqref="B5:G9" xr:uid="{00000000-0002-0000-0C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84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19</v>
      </c>
      <c r="C5" s="3" t="s">
        <v>19</v>
      </c>
      <c r="D5" s="3" t="s">
        <v>13</v>
      </c>
      <c r="E5" s="3" t="s">
        <v>19</v>
      </c>
      <c r="F5" s="3" t="s">
        <v>19</v>
      </c>
      <c r="G5" s="3" t="s">
        <v>13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31" priority="1">
      <formula>B5="Branch"</formula>
    </cfRule>
    <cfRule type="expression" dxfId="30" priority="2">
      <formula>B5="Candidate"</formula>
    </cfRule>
    <cfRule type="expression" dxfId="29" priority="3">
      <formula>B5="Uncertain"</formula>
    </cfRule>
    <cfRule type="expression" dxfId="28" priority="4">
      <formula>B5="No branch"</formula>
    </cfRule>
    <cfRule type="expression" dxfId="27" priority="5">
      <formula>B5="待标注"</formula>
    </cfRule>
    <cfRule type="expression" dxfId="26" priority="6">
      <formula>B5="Linear"</formula>
    </cfRule>
    <cfRule type="expression" dxfId="25" priority="7">
      <formula>B5="Acceleration"</formula>
    </cfRule>
    <cfRule type="expression" dxfId="24" priority="8">
      <formula>B5="Saturation"</formula>
    </cfRule>
  </conditionalFormatting>
  <dataValidations count="1">
    <dataValidation type="list" sqref="B5:G9" xr:uid="{00000000-0002-0000-0D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85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9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9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23" priority="1">
      <formula>B5="Branch"</formula>
    </cfRule>
    <cfRule type="expression" dxfId="22" priority="2">
      <formula>B5="Candidate"</formula>
    </cfRule>
    <cfRule type="expression" dxfId="21" priority="3">
      <formula>B5="Uncertain"</formula>
    </cfRule>
    <cfRule type="expression" dxfId="20" priority="4">
      <formula>B5="No branch"</formula>
    </cfRule>
    <cfRule type="expression" dxfId="19" priority="5">
      <formula>B5="待标注"</formula>
    </cfRule>
    <cfRule type="expression" dxfId="18" priority="6">
      <formula>B5="Linear"</formula>
    </cfRule>
    <cfRule type="expression" dxfId="17" priority="7">
      <formula>B5="Acceleration"</formula>
    </cfRule>
    <cfRule type="expression" dxfId="16" priority="8">
      <formula>B5="Saturation"</formula>
    </cfRule>
  </conditionalFormatting>
  <dataValidations count="1">
    <dataValidation type="list" sqref="B5:G9" xr:uid="{00000000-0002-0000-0E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2"/>
  <sheetViews>
    <sheetView showGridLines="0" workbookViewId="0"/>
  </sheetViews>
  <sheetFormatPr baseColWidth="10" defaultColWidth="8.83203125" defaultRowHeight="15"/>
  <cols>
    <col min="1" max="1" width="15.83203125" customWidth="1"/>
    <col min="2" max="7" width="12.83203125" customWidth="1"/>
    <col min="9" max="9" width="18" customWidth="1"/>
    <col min="10" max="10" width="20" customWidth="1"/>
  </cols>
  <sheetData>
    <row r="1" spans="1:10" ht="25.5" customHeight="1">
      <c r="A1" s="54" t="s">
        <v>86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5" customHeight="1">
      <c r="A2" s="55" t="s">
        <v>54</v>
      </c>
      <c r="B2" s="55"/>
      <c r="C2" s="55"/>
      <c r="D2" s="55"/>
      <c r="E2" s="55"/>
      <c r="F2" s="55"/>
      <c r="G2" s="55"/>
      <c r="H2" s="55"/>
      <c r="I2" s="55"/>
      <c r="J2" s="55"/>
    </row>
    <row r="4" spans="1:10" ht="31.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26" t="s">
        <v>62</v>
      </c>
      <c r="J4" s="27" t="s">
        <v>63</v>
      </c>
    </row>
    <row r="5" spans="1:10" ht="25.5" customHeight="1">
      <c r="A5" s="2" t="s">
        <v>64</v>
      </c>
      <c r="B5" s="3" t="s">
        <v>13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I5" s="28" t="s">
        <v>5</v>
      </c>
      <c r="J5" s="29" t="s">
        <v>6</v>
      </c>
    </row>
    <row r="6" spans="1:10" ht="25.5" customHeight="1">
      <c r="A6" s="2" t="s">
        <v>65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I6" s="30" t="s">
        <v>9</v>
      </c>
      <c r="J6" s="31" t="s">
        <v>66</v>
      </c>
    </row>
    <row r="7" spans="1:10" ht="25.5" customHeight="1">
      <c r="A7" s="2" t="s">
        <v>67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I7" s="32" t="s">
        <v>7</v>
      </c>
      <c r="J7" s="33" t="s">
        <v>8</v>
      </c>
    </row>
    <row r="8" spans="1:10" ht="25.5" customHeight="1">
      <c r="A8" s="2" t="s">
        <v>68</v>
      </c>
      <c r="B8" s="3" t="s">
        <v>13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13</v>
      </c>
      <c r="I8" s="34" t="s">
        <v>11</v>
      </c>
      <c r="J8" s="35" t="s">
        <v>12</v>
      </c>
    </row>
    <row r="9" spans="1:10" ht="25.5" customHeight="1">
      <c r="A9" s="2" t="s">
        <v>69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13</v>
      </c>
      <c r="I9" s="36" t="s">
        <v>15</v>
      </c>
      <c r="J9" s="37" t="s">
        <v>16</v>
      </c>
    </row>
    <row r="10" spans="1:10">
      <c r="I10" s="38" t="s">
        <v>13</v>
      </c>
      <c r="J10" s="39" t="s">
        <v>70</v>
      </c>
    </row>
    <row r="11" spans="1:10">
      <c r="I11" s="40" t="s">
        <v>17</v>
      </c>
      <c r="J11" s="41" t="s">
        <v>71</v>
      </c>
    </row>
    <row r="12" spans="1:10">
      <c r="I12" s="42" t="s">
        <v>19</v>
      </c>
      <c r="J12" s="43" t="s">
        <v>72</v>
      </c>
    </row>
  </sheetData>
  <mergeCells count="2">
    <mergeCell ref="A1:J1"/>
    <mergeCell ref="A2:J2"/>
  </mergeCells>
  <conditionalFormatting sqref="B5:G9">
    <cfRule type="expression" dxfId="15" priority="1">
      <formula>B5="Branch"</formula>
    </cfRule>
    <cfRule type="expression" dxfId="14" priority="2">
      <formula>B5="Candidate"</formula>
    </cfRule>
    <cfRule type="expression" dxfId="13" priority="3">
      <formula>B5="Uncertain"</formula>
    </cfRule>
    <cfRule type="expression" dxfId="12" priority="4">
      <formula>B5="No branch"</formula>
    </cfRule>
    <cfRule type="expression" dxfId="11" priority="5">
      <formula>B5="待标注"</formula>
    </cfRule>
    <cfRule type="expression" dxfId="10" priority="6">
      <formula>B5="Linear"</formula>
    </cfRule>
    <cfRule type="expression" dxfId="9" priority="7">
      <formula>B5="Acceleration"</formula>
    </cfRule>
    <cfRule type="expression" dxfId="8" priority="8">
      <formula>B5="Saturation"</formula>
    </cfRule>
  </conditionalFormatting>
  <dataValidations count="1">
    <dataValidation type="list" sqref="B5:G9" xr:uid="{00000000-0002-0000-0F00-000000000000}">
      <formula1>"Branch,Candidate,Linear,Acceleration,Saturation,Uncertain,No branch,待标注"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6"/>
  <sheetViews>
    <sheetView showGridLines="0" workbookViewId="0"/>
  </sheetViews>
  <sheetFormatPr baseColWidth="10" defaultColWidth="8.83203125" defaultRowHeight="15"/>
  <cols>
    <col min="1" max="1" width="10.1640625" customWidth="1"/>
    <col min="2" max="2" width="9.33203125" customWidth="1"/>
    <col min="3" max="3" width="15.5" customWidth="1"/>
    <col min="4" max="4" width="10" customWidth="1"/>
    <col min="5" max="5" width="9.1640625" customWidth="1"/>
    <col min="6" max="6" width="11.33203125" customWidth="1"/>
    <col min="7" max="7" width="9.33203125" customWidth="1"/>
    <col min="8" max="8" width="36.6640625" customWidth="1"/>
  </cols>
  <sheetData>
    <row r="1" spans="1:8" ht="25.5" customHeight="1">
      <c r="A1" s="54" t="s">
        <v>87</v>
      </c>
      <c r="B1" s="54"/>
      <c r="C1" s="54"/>
      <c r="D1" s="54"/>
      <c r="E1" s="54"/>
      <c r="F1" s="54"/>
      <c r="G1" s="54"/>
      <c r="H1" s="54"/>
    </row>
    <row r="2" spans="1:8" ht="22.5" customHeight="1">
      <c r="A2" s="55" t="s">
        <v>88</v>
      </c>
      <c r="B2" s="55"/>
      <c r="C2" s="55"/>
      <c r="D2" s="55"/>
      <c r="E2" s="55"/>
      <c r="F2" s="55"/>
      <c r="G2" s="55"/>
      <c r="H2" s="55"/>
    </row>
    <row r="4" spans="1:8" ht="32">
      <c r="A4" s="4" t="s">
        <v>22</v>
      </c>
      <c r="B4" s="4" t="s">
        <v>23</v>
      </c>
      <c r="C4" s="4" t="s">
        <v>55</v>
      </c>
      <c r="D4" s="4" t="s">
        <v>89</v>
      </c>
      <c r="E4" s="4" t="s">
        <v>90</v>
      </c>
      <c r="F4" s="4" t="s">
        <v>91</v>
      </c>
      <c r="G4" s="4" t="s">
        <v>92</v>
      </c>
      <c r="H4" s="4" t="s">
        <v>93</v>
      </c>
    </row>
    <row r="5" spans="1:8" ht="32">
      <c r="A5" s="5" t="s">
        <v>26</v>
      </c>
      <c r="B5" s="6" t="s">
        <v>27</v>
      </c>
      <c r="C5" s="6" t="s">
        <v>64</v>
      </c>
      <c r="D5" s="6" t="s">
        <v>94</v>
      </c>
      <c r="E5" s="6" t="s">
        <v>95</v>
      </c>
      <c r="F5" s="6" t="s">
        <v>17</v>
      </c>
      <c r="G5" s="6" t="s">
        <v>96</v>
      </c>
      <c r="H5" s="7" t="s">
        <v>97</v>
      </c>
    </row>
    <row r="6" spans="1:8" ht="32">
      <c r="A6" s="8" t="s">
        <v>26</v>
      </c>
      <c r="B6" s="9" t="s">
        <v>27</v>
      </c>
      <c r="C6" s="9" t="s">
        <v>64</v>
      </c>
      <c r="D6" s="9" t="s">
        <v>98</v>
      </c>
      <c r="E6" s="9" t="s">
        <v>99</v>
      </c>
      <c r="F6" s="9" t="s">
        <v>17</v>
      </c>
      <c r="G6" s="9" t="s">
        <v>96</v>
      </c>
      <c r="H6" s="10" t="s">
        <v>100</v>
      </c>
    </row>
    <row r="7" spans="1:8" ht="32">
      <c r="A7" s="8" t="s">
        <v>26</v>
      </c>
      <c r="B7" s="9" t="s">
        <v>27</v>
      </c>
      <c r="C7" s="9" t="s">
        <v>64</v>
      </c>
      <c r="D7" s="9" t="s">
        <v>101</v>
      </c>
      <c r="E7" s="9" t="s">
        <v>102</v>
      </c>
      <c r="F7" s="9" t="s">
        <v>17</v>
      </c>
      <c r="G7" s="9" t="s">
        <v>96</v>
      </c>
      <c r="H7" s="10" t="s">
        <v>97</v>
      </c>
    </row>
    <row r="8" spans="1:8" ht="32">
      <c r="A8" s="8" t="s">
        <v>26</v>
      </c>
      <c r="B8" s="9" t="s">
        <v>27</v>
      </c>
      <c r="C8" s="9" t="s">
        <v>64</v>
      </c>
      <c r="D8" s="9" t="s">
        <v>103</v>
      </c>
      <c r="E8" s="9" t="s">
        <v>104</v>
      </c>
      <c r="F8" s="9" t="s">
        <v>17</v>
      </c>
      <c r="G8" s="9" t="s">
        <v>105</v>
      </c>
      <c r="H8" s="10" t="s">
        <v>106</v>
      </c>
    </row>
    <row r="9" spans="1:8" ht="32">
      <c r="A9" s="8" t="s">
        <v>26</v>
      </c>
      <c r="B9" s="9" t="s">
        <v>27</v>
      </c>
      <c r="C9" s="9" t="s">
        <v>64</v>
      </c>
      <c r="D9" s="9" t="s">
        <v>107</v>
      </c>
      <c r="E9" s="9" t="s">
        <v>108</v>
      </c>
      <c r="F9" s="9" t="s">
        <v>17</v>
      </c>
      <c r="G9" s="9" t="s">
        <v>96</v>
      </c>
      <c r="H9" s="10" t="s">
        <v>97</v>
      </c>
    </row>
    <row r="10" spans="1:8" ht="32">
      <c r="A10" s="8" t="s">
        <v>26</v>
      </c>
      <c r="B10" s="9" t="s">
        <v>27</v>
      </c>
      <c r="C10" s="9" t="s">
        <v>64</v>
      </c>
      <c r="D10" s="9" t="s">
        <v>109</v>
      </c>
      <c r="E10" s="9" t="s">
        <v>110</v>
      </c>
      <c r="F10" s="9" t="s">
        <v>5</v>
      </c>
      <c r="G10" s="9" t="s">
        <v>105</v>
      </c>
      <c r="H10" s="10" t="s">
        <v>111</v>
      </c>
    </row>
    <row r="11" spans="1:8" ht="32">
      <c r="A11" s="8" t="s">
        <v>26</v>
      </c>
      <c r="B11" s="9" t="s">
        <v>27</v>
      </c>
      <c r="C11" s="9" t="s">
        <v>65</v>
      </c>
      <c r="D11" s="9" t="s">
        <v>94</v>
      </c>
      <c r="E11" s="9" t="s">
        <v>112</v>
      </c>
      <c r="F11" s="9" t="s">
        <v>13</v>
      </c>
      <c r="G11" s="9" t="s">
        <v>113</v>
      </c>
      <c r="H11" s="10" t="s">
        <v>114</v>
      </c>
    </row>
    <row r="12" spans="1:8" ht="32">
      <c r="A12" s="8" t="s">
        <v>26</v>
      </c>
      <c r="B12" s="9" t="s">
        <v>27</v>
      </c>
      <c r="C12" s="9" t="s">
        <v>65</v>
      </c>
      <c r="D12" s="9" t="s">
        <v>98</v>
      </c>
      <c r="E12" s="9" t="s">
        <v>115</v>
      </c>
      <c r="F12" s="9" t="s">
        <v>17</v>
      </c>
      <c r="G12" s="9" t="s">
        <v>96</v>
      </c>
      <c r="H12" s="10" t="s">
        <v>97</v>
      </c>
    </row>
    <row r="13" spans="1:8" ht="32">
      <c r="A13" s="8" t="s">
        <v>26</v>
      </c>
      <c r="B13" s="9" t="s">
        <v>27</v>
      </c>
      <c r="C13" s="9" t="s">
        <v>65</v>
      </c>
      <c r="D13" s="9" t="s">
        <v>101</v>
      </c>
      <c r="E13" s="9" t="s">
        <v>116</v>
      </c>
      <c r="F13" s="9" t="s">
        <v>17</v>
      </c>
      <c r="G13" s="9" t="s">
        <v>96</v>
      </c>
      <c r="H13" s="10" t="s">
        <v>97</v>
      </c>
    </row>
    <row r="14" spans="1:8" ht="32">
      <c r="A14" s="8" t="s">
        <v>26</v>
      </c>
      <c r="B14" s="9" t="s">
        <v>27</v>
      </c>
      <c r="C14" s="9" t="s">
        <v>65</v>
      </c>
      <c r="D14" s="9" t="s">
        <v>103</v>
      </c>
      <c r="E14" s="9" t="s">
        <v>117</v>
      </c>
      <c r="F14" s="9" t="s">
        <v>17</v>
      </c>
      <c r="G14" s="9" t="s">
        <v>96</v>
      </c>
      <c r="H14" s="10" t="s">
        <v>97</v>
      </c>
    </row>
    <row r="15" spans="1:8" ht="32">
      <c r="A15" s="8" t="s">
        <v>26</v>
      </c>
      <c r="B15" s="9" t="s">
        <v>27</v>
      </c>
      <c r="C15" s="9" t="s">
        <v>65</v>
      </c>
      <c r="D15" s="9" t="s">
        <v>107</v>
      </c>
      <c r="E15" s="9" t="s">
        <v>118</v>
      </c>
      <c r="F15" s="9" t="s">
        <v>17</v>
      </c>
      <c r="G15" s="9" t="s">
        <v>96</v>
      </c>
      <c r="H15" s="10" t="s">
        <v>97</v>
      </c>
    </row>
    <row r="16" spans="1:8" ht="32">
      <c r="A16" s="8" t="s">
        <v>26</v>
      </c>
      <c r="B16" s="9" t="s">
        <v>27</v>
      </c>
      <c r="C16" s="9" t="s">
        <v>65</v>
      </c>
      <c r="D16" s="9" t="s">
        <v>109</v>
      </c>
      <c r="E16" s="9" t="s">
        <v>119</v>
      </c>
      <c r="F16" s="9" t="s">
        <v>17</v>
      </c>
      <c r="G16" s="9" t="s">
        <v>96</v>
      </c>
      <c r="H16" s="10" t="s">
        <v>97</v>
      </c>
    </row>
    <row r="17" spans="1:8" ht="32">
      <c r="A17" s="8" t="s">
        <v>26</v>
      </c>
      <c r="B17" s="9" t="s">
        <v>27</v>
      </c>
      <c r="C17" s="9" t="s">
        <v>67</v>
      </c>
      <c r="D17" s="9" t="s">
        <v>94</v>
      </c>
      <c r="E17" s="9" t="s">
        <v>120</v>
      </c>
      <c r="F17" s="9" t="s">
        <v>13</v>
      </c>
      <c r="G17" s="9" t="s">
        <v>113</v>
      </c>
      <c r="H17" s="10" t="s">
        <v>114</v>
      </c>
    </row>
    <row r="18" spans="1:8" ht="32">
      <c r="A18" s="8" t="s">
        <v>26</v>
      </c>
      <c r="B18" s="9" t="s">
        <v>27</v>
      </c>
      <c r="C18" s="9" t="s">
        <v>67</v>
      </c>
      <c r="D18" s="9" t="s">
        <v>98</v>
      </c>
      <c r="E18" s="9" t="s">
        <v>121</v>
      </c>
      <c r="F18" s="9" t="s">
        <v>17</v>
      </c>
      <c r="G18" s="9" t="s">
        <v>96</v>
      </c>
      <c r="H18" s="10" t="s">
        <v>97</v>
      </c>
    </row>
    <row r="19" spans="1:8" ht="32">
      <c r="A19" s="8" t="s">
        <v>26</v>
      </c>
      <c r="B19" s="9" t="s">
        <v>27</v>
      </c>
      <c r="C19" s="9" t="s">
        <v>67</v>
      </c>
      <c r="D19" s="9" t="s">
        <v>101</v>
      </c>
      <c r="E19" s="9" t="s">
        <v>122</v>
      </c>
      <c r="F19" s="9" t="s">
        <v>17</v>
      </c>
      <c r="G19" s="9" t="s">
        <v>96</v>
      </c>
      <c r="H19" s="10" t="s">
        <v>97</v>
      </c>
    </row>
    <row r="20" spans="1:8" ht="32">
      <c r="A20" s="8" t="s">
        <v>26</v>
      </c>
      <c r="B20" s="9" t="s">
        <v>27</v>
      </c>
      <c r="C20" s="9" t="s">
        <v>67</v>
      </c>
      <c r="D20" s="9" t="s">
        <v>103</v>
      </c>
      <c r="E20" s="9" t="s">
        <v>123</v>
      </c>
      <c r="F20" s="9" t="s">
        <v>17</v>
      </c>
      <c r="G20" s="9" t="s">
        <v>96</v>
      </c>
      <c r="H20" s="10" t="s">
        <v>97</v>
      </c>
    </row>
    <row r="21" spans="1:8" ht="32">
      <c r="A21" s="8" t="s">
        <v>26</v>
      </c>
      <c r="B21" s="9" t="s">
        <v>27</v>
      </c>
      <c r="C21" s="9" t="s">
        <v>67</v>
      </c>
      <c r="D21" s="9" t="s">
        <v>107</v>
      </c>
      <c r="E21" s="9" t="s">
        <v>124</v>
      </c>
      <c r="F21" s="9" t="s">
        <v>17</v>
      </c>
      <c r="G21" s="9" t="s">
        <v>96</v>
      </c>
      <c r="H21" s="10" t="s">
        <v>97</v>
      </c>
    </row>
    <row r="22" spans="1:8" ht="32">
      <c r="A22" s="8" t="s">
        <v>26</v>
      </c>
      <c r="B22" s="9" t="s">
        <v>27</v>
      </c>
      <c r="C22" s="9" t="s">
        <v>67</v>
      </c>
      <c r="D22" s="9" t="s">
        <v>109</v>
      </c>
      <c r="E22" s="9" t="s">
        <v>125</v>
      </c>
      <c r="F22" s="9" t="s">
        <v>17</v>
      </c>
      <c r="G22" s="9" t="s">
        <v>96</v>
      </c>
      <c r="H22" s="10" t="s">
        <v>97</v>
      </c>
    </row>
    <row r="23" spans="1:8" ht="32">
      <c r="A23" s="8" t="s">
        <v>26</v>
      </c>
      <c r="B23" s="9" t="s">
        <v>27</v>
      </c>
      <c r="C23" s="9" t="s">
        <v>68</v>
      </c>
      <c r="D23" s="9" t="s">
        <v>94</v>
      </c>
      <c r="E23" s="9" t="s">
        <v>126</v>
      </c>
      <c r="F23" s="9" t="s">
        <v>13</v>
      </c>
      <c r="G23" s="9" t="s">
        <v>113</v>
      </c>
      <c r="H23" s="10" t="s">
        <v>114</v>
      </c>
    </row>
    <row r="24" spans="1:8" ht="32">
      <c r="A24" s="8" t="s">
        <v>26</v>
      </c>
      <c r="B24" s="9" t="s">
        <v>27</v>
      </c>
      <c r="C24" s="9" t="s">
        <v>68</v>
      </c>
      <c r="D24" s="9" t="s">
        <v>98</v>
      </c>
      <c r="E24" s="9" t="s">
        <v>127</v>
      </c>
      <c r="F24" s="9" t="s">
        <v>17</v>
      </c>
      <c r="G24" s="9" t="s">
        <v>96</v>
      </c>
      <c r="H24" s="10" t="s">
        <v>97</v>
      </c>
    </row>
    <row r="25" spans="1:8" ht="32">
      <c r="A25" s="8" t="s">
        <v>26</v>
      </c>
      <c r="B25" s="9" t="s">
        <v>27</v>
      </c>
      <c r="C25" s="9" t="s">
        <v>68</v>
      </c>
      <c r="D25" s="9" t="s">
        <v>101</v>
      </c>
      <c r="E25" s="9" t="s">
        <v>128</v>
      </c>
      <c r="F25" s="9" t="s">
        <v>17</v>
      </c>
      <c r="G25" s="9" t="s">
        <v>96</v>
      </c>
      <c r="H25" s="10" t="s">
        <v>97</v>
      </c>
    </row>
    <row r="26" spans="1:8" ht="32">
      <c r="A26" s="8" t="s">
        <v>26</v>
      </c>
      <c r="B26" s="9" t="s">
        <v>27</v>
      </c>
      <c r="C26" s="9" t="s">
        <v>68</v>
      </c>
      <c r="D26" s="9" t="s">
        <v>103</v>
      </c>
      <c r="E26" s="9" t="s">
        <v>129</v>
      </c>
      <c r="F26" s="9" t="s">
        <v>17</v>
      </c>
      <c r="G26" s="9" t="s">
        <v>96</v>
      </c>
      <c r="H26" s="10" t="s">
        <v>97</v>
      </c>
    </row>
    <row r="27" spans="1:8" ht="32">
      <c r="A27" s="8" t="s">
        <v>26</v>
      </c>
      <c r="B27" s="9" t="s">
        <v>27</v>
      </c>
      <c r="C27" s="9" t="s">
        <v>68</v>
      </c>
      <c r="D27" s="9" t="s">
        <v>107</v>
      </c>
      <c r="E27" s="9" t="s">
        <v>130</v>
      </c>
      <c r="F27" s="9" t="s">
        <v>17</v>
      </c>
      <c r="G27" s="9" t="s">
        <v>96</v>
      </c>
      <c r="H27" s="10" t="s">
        <v>97</v>
      </c>
    </row>
    <row r="28" spans="1:8" ht="48">
      <c r="A28" s="8" t="s">
        <v>26</v>
      </c>
      <c r="B28" s="9" t="s">
        <v>27</v>
      </c>
      <c r="C28" s="9" t="s">
        <v>68</v>
      </c>
      <c r="D28" s="9" t="s">
        <v>109</v>
      </c>
      <c r="E28" s="9" t="s">
        <v>131</v>
      </c>
      <c r="F28" s="9" t="s">
        <v>5</v>
      </c>
      <c r="G28" s="9" t="s">
        <v>105</v>
      </c>
      <c r="H28" s="10" t="s">
        <v>132</v>
      </c>
    </row>
    <row r="29" spans="1:8" ht="32">
      <c r="A29" s="8" t="s">
        <v>26</v>
      </c>
      <c r="B29" s="9" t="s">
        <v>27</v>
      </c>
      <c r="C29" s="9" t="s">
        <v>69</v>
      </c>
      <c r="D29" s="9" t="s">
        <v>94</v>
      </c>
      <c r="E29" s="9" t="s">
        <v>133</v>
      </c>
      <c r="F29" s="9" t="s">
        <v>17</v>
      </c>
      <c r="G29" s="9" t="s">
        <v>96</v>
      </c>
      <c r="H29" s="10" t="s">
        <v>97</v>
      </c>
    </row>
    <row r="30" spans="1:8" ht="32">
      <c r="A30" s="8" t="s">
        <v>26</v>
      </c>
      <c r="B30" s="9" t="s">
        <v>27</v>
      </c>
      <c r="C30" s="9" t="s">
        <v>69</v>
      </c>
      <c r="D30" s="9" t="s">
        <v>98</v>
      </c>
      <c r="E30" s="9" t="s">
        <v>134</v>
      </c>
      <c r="F30" s="9" t="s">
        <v>17</v>
      </c>
      <c r="G30" s="9" t="s">
        <v>96</v>
      </c>
      <c r="H30" s="10" t="s">
        <v>97</v>
      </c>
    </row>
    <row r="31" spans="1:8" ht="32">
      <c r="A31" s="8" t="s">
        <v>26</v>
      </c>
      <c r="B31" s="9" t="s">
        <v>27</v>
      </c>
      <c r="C31" s="9" t="s">
        <v>69</v>
      </c>
      <c r="D31" s="9" t="s">
        <v>101</v>
      </c>
      <c r="E31" s="9" t="s">
        <v>135</v>
      </c>
      <c r="F31" s="9" t="s">
        <v>17</v>
      </c>
      <c r="G31" s="9" t="s">
        <v>96</v>
      </c>
      <c r="H31" s="10" t="s">
        <v>97</v>
      </c>
    </row>
    <row r="32" spans="1:8" ht="32">
      <c r="A32" s="8" t="s">
        <v>26</v>
      </c>
      <c r="B32" s="9" t="s">
        <v>27</v>
      </c>
      <c r="C32" s="9" t="s">
        <v>69</v>
      </c>
      <c r="D32" s="9" t="s">
        <v>103</v>
      </c>
      <c r="E32" s="9" t="s">
        <v>136</v>
      </c>
      <c r="F32" s="9" t="s">
        <v>17</v>
      </c>
      <c r="G32" s="9" t="s">
        <v>96</v>
      </c>
      <c r="H32" s="10" t="s">
        <v>97</v>
      </c>
    </row>
    <row r="33" spans="1:8" ht="32">
      <c r="A33" s="8" t="s">
        <v>26</v>
      </c>
      <c r="B33" s="9" t="s">
        <v>27</v>
      </c>
      <c r="C33" s="9" t="s">
        <v>69</v>
      </c>
      <c r="D33" s="9" t="s">
        <v>107</v>
      </c>
      <c r="E33" s="9" t="s">
        <v>137</v>
      </c>
      <c r="F33" s="9" t="s">
        <v>17</v>
      </c>
      <c r="G33" s="9" t="s">
        <v>96</v>
      </c>
      <c r="H33" s="10" t="s">
        <v>97</v>
      </c>
    </row>
    <row r="34" spans="1:8" ht="32">
      <c r="A34" s="8" t="s">
        <v>26</v>
      </c>
      <c r="B34" s="9" t="s">
        <v>27</v>
      </c>
      <c r="C34" s="9" t="s">
        <v>69</v>
      </c>
      <c r="D34" s="9" t="s">
        <v>109</v>
      </c>
      <c r="E34" s="9" t="s">
        <v>138</v>
      </c>
      <c r="F34" s="9" t="s">
        <v>5</v>
      </c>
      <c r="G34" s="9" t="s">
        <v>105</v>
      </c>
      <c r="H34" s="10" t="s">
        <v>139</v>
      </c>
    </row>
    <row r="35" spans="1:8" ht="16">
      <c r="A35" s="8" t="s">
        <v>26</v>
      </c>
      <c r="B35" s="9" t="s">
        <v>29</v>
      </c>
      <c r="C35" s="9" t="s">
        <v>67</v>
      </c>
      <c r="D35" s="9" t="s">
        <v>94</v>
      </c>
      <c r="E35" s="9" t="s">
        <v>120</v>
      </c>
      <c r="F35" s="9" t="s">
        <v>17</v>
      </c>
      <c r="G35" s="9" t="s">
        <v>105</v>
      </c>
      <c r="H35" s="10" t="s">
        <v>140</v>
      </c>
    </row>
    <row r="36" spans="1:8" ht="16">
      <c r="A36" s="8" t="s">
        <v>26</v>
      </c>
      <c r="B36" s="9" t="s">
        <v>29</v>
      </c>
      <c r="C36" s="9" t="s">
        <v>68</v>
      </c>
      <c r="D36" s="9" t="s">
        <v>109</v>
      </c>
      <c r="E36" s="9" t="s">
        <v>131</v>
      </c>
      <c r="F36" s="9" t="s">
        <v>5</v>
      </c>
      <c r="G36" s="9" t="s">
        <v>105</v>
      </c>
      <c r="H36" s="10" t="s">
        <v>141</v>
      </c>
    </row>
    <row r="37" spans="1:8" ht="16">
      <c r="A37" s="8" t="s">
        <v>26</v>
      </c>
      <c r="B37" s="9" t="s">
        <v>29</v>
      </c>
      <c r="C37" s="9" t="s">
        <v>69</v>
      </c>
      <c r="D37" s="9" t="s">
        <v>109</v>
      </c>
      <c r="E37" s="9" t="s">
        <v>138</v>
      </c>
      <c r="F37" s="9" t="s">
        <v>5</v>
      </c>
      <c r="G37" s="9" t="s">
        <v>105</v>
      </c>
      <c r="H37" s="10" t="s">
        <v>141</v>
      </c>
    </row>
    <row r="38" spans="1:8" ht="32">
      <c r="A38" s="8" t="s">
        <v>31</v>
      </c>
      <c r="B38" s="9" t="s">
        <v>29</v>
      </c>
      <c r="C38" s="9" t="s">
        <v>64</v>
      </c>
      <c r="D38" s="9" t="s">
        <v>107</v>
      </c>
      <c r="E38" s="9" t="s">
        <v>108</v>
      </c>
      <c r="F38" s="9" t="s">
        <v>17</v>
      </c>
      <c r="G38" s="9" t="s">
        <v>96</v>
      </c>
      <c r="H38" s="10" t="s">
        <v>142</v>
      </c>
    </row>
    <row r="39" spans="1:8" ht="16">
      <c r="A39" s="8" t="s">
        <v>33</v>
      </c>
      <c r="B39" s="9" t="s">
        <v>29</v>
      </c>
      <c r="C39" s="9" t="s">
        <v>64</v>
      </c>
      <c r="D39" s="9" t="s">
        <v>98</v>
      </c>
      <c r="E39" s="9" t="s">
        <v>99</v>
      </c>
      <c r="F39" s="9" t="s">
        <v>17</v>
      </c>
      <c r="G39" s="9" t="s">
        <v>105</v>
      </c>
      <c r="H39" s="10" t="s">
        <v>143</v>
      </c>
    </row>
    <row r="40" spans="1:8" ht="16">
      <c r="A40" s="8" t="s">
        <v>35</v>
      </c>
      <c r="B40" s="9" t="s">
        <v>29</v>
      </c>
      <c r="C40" s="9" t="s">
        <v>64</v>
      </c>
      <c r="D40" s="9" t="s">
        <v>98</v>
      </c>
      <c r="E40" s="9" t="s">
        <v>99</v>
      </c>
      <c r="F40" s="9" t="s">
        <v>17</v>
      </c>
      <c r="G40" s="9" t="s">
        <v>96</v>
      </c>
      <c r="H40" s="10" t="s">
        <v>144</v>
      </c>
    </row>
    <row r="41" spans="1:8" ht="16">
      <c r="A41" s="8" t="s">
        <v>37</v>
      </c>
      <c r="B41" s="9" t="s">
        <v>29</v>
      </c>
      <c r="C41" s="9" t="s">
        <v>64</v>
      </c>
      <c r="D41" s="9" t="s">
        <v>94</v>
      </c>
      <c r="E41" s="9" t="s">
        <v>95</v>
      </c>
      <c r="F41" s="9" t="s">
        <v>17</v>
      </c>
      <c r="G41" s="9" t="s">
        <v>96</v>
      </c>
      <c r="H41" s="10" t="s">
        <v>145</v>
      </c>
    </row>
    <row r="42" spans="1:8" ht="16">
      <c r="A42" s="8" t="s">
        <v>39</v>
      </c>
      <c r="B42" s="9" t="s">
        <v>29</v>
      </c>
      <c r="C42" s="9" t="s">
        <v>64</v>
      </c>
      <c r="D42" s="9" t="s">
        <v>101</v>
      </c>
      <c r="E42" s="9" t="s">
        <v>102</v>
      </c>
      <c r="F42" s="9" t="s">
        <v>17</v>
      </c>
      <c r="G42" s="9" t="s">
        <v>96</v>
      </c>
      <c r="H42" s="10" t="s">
        <v>146</v>
      </c>
    </row>
    <row r="43" spans="1:8" ht="32">
      <c r="A43" s="8" t="s">
        <v>39</v>
      </c>
      <c r="B43" s="9" t="s">
        <v>27</v>
      </c>
      <c r="C43" s="9" t="s">
        <v>64</v>
      </c>
      <c r="D43" s="9" t="s">
        <v>101</v>
      </c>
      <c r="E43" s="9" t="s">
        <v>102</v>
      </c>
      <c r="F43" s="9" t="s">
        <v>17</v>
      </c>
      <c r="G43" s="9" t="s">
        <v>96</v>
      </c>
      <c r="H43" s="10" t="s">
        <v>146</v>
      </c>
    </row>
    <row r="44" spans="1:8" ht="32">
      <c r="A44" s="8" t="s">
        <v>39</v>
      </c>
      <c r="B44" s="9" t="s">
        <v>27</v>
      </c>
      <c r="C44" s="9" t="s">
        <v>64</v>
      </c>
      <c r="D44" s="9" t="s">
        <v>109</v>
      </c>
      <c r="E44" s="9" t="s">
        <v>110</v>
      </c>
      <c r="F44" s="9" t="s">
        <v>17</v>
      </c>
      <c r="G44" s="9" t="s">
        <v>96</v>
      </c>
      <c r="H44" s="10" t="s">
        <v>146</v>
      </c>
    </row>
    <row r="45" spans="1:8" ht="32">
      <c r="A45" s="8" t="s">
        <v>39</v>
      </c>
      <c r="B45" s="9" t="s">
        <v>27</v>
      </c>
      <c r="C45" s="9" t="s">
        <v>68</v>
      </c>
      <c r="D45" s="9" t="s">
        <v>109</v>
      </c>
      <c r="E45" s="9" t="s">
        <v>131</v>
      </c>
      <c r="F45" s="9" t="s">
        <v>17</v>
      </c>
      <c r="G45" s="9" t="s">
        <v>96</v>
      </c>
      <c r="H45" s="10" t="s">
        <v>147</v>
      </c>
    </row>
    <row r="46" spans="1:8" ht="16">
      <c r="A46" s="8" t="s">
        <v>42</v>
      </c>
      <c r="B46" s="9" t="s">
        <v>29</v>
      </c>
      <c r="C46" s="9" t="s">
        <v>64</v>
      </c>
      <c r="D46" s="9" t="s">
        <v>109</v>
      </c>
      <c r="E46" s="9" t="s">
        <v>110</v>
      </c>
      <c r="F46" s="9" t="s">
        <v>17</v>
      </c>
      <c r="G46" s="9" t="s">
        <v>96</v>
      </c>
      <c r="H46" s="10" t="s">
        <v>146</v>
      </c>
    </row>
    <row r="47" spans="1:8" ht="16">
      <c r="A47" s="8" t="s">
        <v>42</v>
      </c>
      <c r="B47" s="9" t="s">
        <v>29</v>
      </c>
      <c r="C47" s="9" t="s">
        <v>69</v>
      </c>
      <c r="D47" s="9" t="s">
        <v>109</v>
      </c>
      <c r="E47" s="9" t="s">
        <v>138</v>
      </c>
      <c r="F47" s="9" t="s">
        <v>17</v>
      </c>
      <c r="G47" s="9" t="s">
        <v>96</v>
      </c>
      <c r="H47" s="10" t="s">
        <v>146</v>
      </c>
    </row>
    <row r="48" spans="1:8" ht="32">
      <c r="A48" s="8" t="s">
        <v>44</v>
      </c>
      <c r="B48" s="9" t="s">
        <v>27</v>
      </c>
      <c r="C48" s="9" t="s">
        <v>69</v>
      </c>
      <c r="D48" s="9" t="s">
        <v>109</v>
      </c>
      <c r="E48" s="9" t="s">
        <v>138</v>
      </c>
      <c r="F48" s="9" t="s">
        <v>17</v>
      </c>
      <c r="G48" s="9" t="s">
        <v>96</v>
      </c>
      <c r="H48" s="10" t="s">
        <v>148</v>
      </c>
    </row>
    <row r="49" spans="1:8" ht="16">
      <c r="A49" s="8" t="s">
        <v>46</v>
      </c>
      <c r="B49" s="9" t="s">
        <v>29</v>
      </c>
      <c r="C49" s="9" t="s">
        <v>64</v>
      </c>
      <c r="D49" s="9" t="s">
        <v>109</v>
      </c>
      <c r="E49" s="9" t="s">
        <v>110</v>
      </c>
      <c r="F49" s="9" t="s">
        <v>17</v>
      </c>
      <c r="G49" s="9" t="s">
        <v>105</v>
      </c>
      <c r="H49" s="10" t="s">
        <v>149</v>
      </c>
    </row>
    <row r="50" spans="1:8" ht="16">
      <c r="A50" s="8" t="s">
        <v>46</v>
      </c>
      <c r="B50" s="9" t="s">
        <v>29</v>
      </c>
      <c r="C50" s="9" t="s">
        <v>68</v>
      </c>
      <c r="D50" s="9" t="s">
        <v>94</v>
      </c>
      <c r="E50" s="9" t="s">
        <v>126</v>
      </c>
      <c r="F50" s="9" t="s">
        <v>17</v>
      </c>
      <c r="G50" s="9" t="s">
        <v>105</v>
      </c>
      <c r="H50" s="10" t="s">
        <v>149</v>
      </c>
    </row>
    <row r="51" spans="1:8" ht="16">
      <c r="A51" s="8" t="s">
        <v>46</v>
      </c>
      <c r="B51" s="9" t="s">
        <v>29</v>
      </c>
      <c r="C51" s="9" t="s">
        <v>68</v>
      </c>
      <c r="D51" s="9" t="s">
        <v>101</v>
      </c>
      <c r="E51" s="9" t="s">
        <v>128</v>
      </c>
      <c r="F51" s="9" t="s">
        <v>17</v>
      </c>
      <c r="G51" s="9" t="s">
        <v>105</v>
      </c>
      <c r="H51" s="10" t="s">
        <v>149</v>
      </c>
    </row>
    <row r="52" spans="1:8" ht="16">
      <c r="A52" s="8" t="s">
        <v>46</v>
      </c>
      <c r="B52" s="9" t="s">
        <v>29</v>
      </c>
      <c r="C52" s="9" t="s">
        <v>68</v>
      </c>
      <c r="D52" s="9" t="s">
        <v>109</v>
      </c>
      <c r="E52" s="9" t="s">
        <v>131</v>
      </c>
      <c r="F52" s="9" t="s">
        <v>17</v>
      </c>
      <c r="G52" s="9" t="s">
        <v>105</v>
      </c>
      <c r="H52" s="10" t="s">
        <v>149</v>
      </c>
    </row>
    <row r="53" spans="1:8" ht="16">
      <c r="A53" s="8" t="s">
        <v>46</v>
      </c>
      <c r="B53" s="9" t="s">
        <v>29</v>
      </c>
      <c r="C53" s="9" t="s">
        <v>69</v>
      </c>
      <c r="D53" s="9" t="s">
        <v>98</v>
      </c>
      <c r="E53" s="9" t="s">
        <v>134</v>
      </c>
      <c r="F53" s="9" t="s">
        <v>17</v>
      </c>
      <c r="G53" s="9" t="s">
        <v>105</v>
      </c>
      <c r="H53" s="10" t="s">
        <v>149</v>
      </c>
    </row>
    <row r="54" spans="1:8" ht="32">
      <c r="A54" s="8" t="s">
        <v>46</v>
      </c>
      <c r="B54" s="9" t="s">
        <v>27</v>
      </c>
      <c r="C54" s="9" t="s">
        <v>64</v>
      </c>
      <c r="D54" s="9" t="s">
        <v>94</v>
      </c>
      <c r="E54" s="9" t="s">
        <v>95</v>
      </c>
      <c r="F54" s="9" t="s">
        <v>17</v>
      </c>
      <c r="G54" s="9" t="s">
        <v>105</v>
      </c>
      <c r="H54" s="10" t="s">
        <v>149</v>
      </c>
    </row>
    <row r="55" spans="1:8" ht="32">
      <c r="A55" s="8" t="s">
        <v>46</v>
      </c>
      <c r="B55" s="9" t="s">
        <v>27</v>
      </c>
      <c r="C55" s="9" t="s">
        <v>64</v>
      </c>
      <c r="D55" s="9" t="s">
        <v>109</v>
      </c>
      <c r="E55" s="9" t="s">
        <v>110</v>
      </c>
      <c r="F55" s="9" t="s">
        <v>17</v>
      </c>
      <c r="G55" s="9" t="s">
        <v>105</v>
      </c>
      <c r="H55" s="10" t="s">
        <v>149</v>
      </c>
    </row>
    <row r="56" spans="1:8" ht="32">
      <c r="A56" s="8" t="s">
        <v>46</v>
      </c>
      <c r="B56" s="9" t="s">
        <v>27</v>
      </c>
      <c r="C56" s="9" t="s">
        <v>68</v>
      </c>
      <c r="D56" s="9" t="s">
        <v>94</v>
      </c>
      <c r="E56" s="9" t="s">
        <v>126</v>
      </c>
      <c r="F56" s="9" t="s">
        <v>17</v>
      </c>
      <c r="G56" s="9" t="s">
        <v>105</v>
      </c>
      <c r="H56" s="10" t="s">
        <v>149</v>
      </c>
    </row>
    <row r="57" spans="1:8" ht="32">
      <c r="A57" s="8" t="s">
        <v>46</v>
      </c>
      <c r="B57" s="9" t="s">
        <v>27</v>
      </c>
      <c r="C57" s="9" t="s">
        <v>69</v>
      </c>
      <c r="D57" s="9" t="s">
        <v>98</v>
      </c>
      <c r="E57" s="9" t="s">
        <v>134</v>
      </c>
      <c r="F57" s="9" t="s">
        <v>17</v>
      </c>
      <c r="G57" s="9" t="s">
        <v>105</v>
      </c>
      <c r="H57" s="10" t="s">
        <v>149</v>
      </c>
    </row>
    <row r="58" spans="1:8" ht="32">
      <c r="A58" s="8" t="s">
        <v>49</v>
      </c>
      <c r="B58" s="9" t="s">
        <v>27</v>
      </c>
      <c r="C58" s="9" t="s">
        <v>64</v>
      </c>
      <c r="D58" s="9" t="s">
        <v>101</v>
      </c>
      <c r="E58" s="9" t="s">
        <v>102</v>
      </c>
      <c r="F58" s="9" t="s">
        <v>13</v>
      </c>
      <c r="G58" s="9" t="s">
        <v>113</v>
      </c>
      <c r="H58" s="10" t="s">
        <v>150</v>
      </c>
    </row>
    <row r="59" spans="1:8" ht="32">
      <c r="A59" s="8" t="s">
        <v>49</v>
      </c>
      <c r="B59" s="9" t="s">
        <v>27</v>
      </c>
      <c r="C59" s="9" t="s">
        <v>64</v>
      </c>
      <c r="D59" s="9" t="s">
        <v>109</v>
      </c>
      <c r="E59" s="9" t="s">
        <v>110</v>
      </c>
      <c r="F59" s="9" t="s">
        <v>13</v>
      </c>
      <c r="G59" s="9" t="s">
        <v>113</v>
      </c>
      <c r="H59" s="10" t="s">
        <v>151</v>
      </c>
    </row>
    <row r="60" spans="1:8" ht="32">
      <c r="A60" s="8" t="s">
        <v>49</v>
      </c>
      <c r="B60" s="9" t="s">
        <v>27</v>
      </c>
      <c r="C60" s="9" t="s">
        <v>67</v>
      </c>
      <c r="D60" s="9" t="s">
        <v>103</v>
      </c>
      <c r="E60" s="9" t="s">
        <v>123</v>
      </c>
      <c r="F60" s="9" t="s">
        <v>9</v>
      </c>
      <c r="G60" s="9" t="s">
        <v>105</v>
      </c>
      <c r="H60" s="10" t="s">
        <v>152</v>
      </c>
    </row>
    <row r="61" spans="1:8" ht="32">
      <c r="A61" s="8" t="s">
        <v>37</v>
      </c>
      <c r="B61" s="9" t="s">
        <v>27</v>
      </c>
      <c r="C61" s="9" t="s">
        <v>64</v>
      </c>
      <c r="D61" s="9" t="s">
        <v>109</v>
      </c>
      <c r="E61" s="9" t="s">
        <v>110</v>
      </c>
      <c r="F61" s="9" t="s">
        <v>9</v>
      </c>
      <c r="G61" s="9" t="s">
        <v>96</v>
      </c>
      <c r="H61" s="10" t="s">
        <v>153</v>
      </c>
    </row>
    <row r="62" spans="1:8" ht="32">
      <c r="A62" s="8" t="s">
        <v>37</v>
      </c>
      <c r="B62" s="9" t="s">
        <v>27</v>
      </c>
      <c r="C62" s="9" t="s">
        <v>68</v>
      </c>
      <c r="D62" s="9" t="s">
        <v>109</v>
      </c>
      <c r="E62" s="9" t="s">
        <v>131</v>
      </c>
      <c r="F62" s="9" t="s">
        <v>9</v>
      </c>
      <c r="G62" s="9" t="s">
        <v>96</v>
      </c>
      <c r="H62" s="10" t="s">
        <v>153</v>
      </c>
    </row>
    <row r="63" spans="1:8" ht="32">
      <c r="A63" s="8" t="s">
        <v>52</v>
      </c>
      <c r="B63" s="9" t="s">
        <v>27</v>
      </c>
      <c r="C63" s="9" t="s">
        <v>64</v>
      </c>
      <c r="D63" s="9" t="s">
        <v>94</v>
      </c>
      <c r="E63" s="9" t="s">
        <v>95</v>
      </c>
      <c r="F63" s="9" t="s">
        <v>13</v>
      </c>
      <c r="G63" s="9" t="s">
        <v>113</v>
      </c>
      <c r="H63" s="10" t="s">
        <v>154</v>
      </c>
    </row>
    <row r="64" spans="1:8" ht="32">
      <c r="A64" s="8" t="s">
        <v>52</v>
      </c>
      <c r="B64" s="9" t="s">
        <v>27</v>
      </c>
      <c r="C64" s="9" t="s">
        <v>68</v>
      </c>
      <c r="D64" s="9" t="s">
        <v>94</v>
      </c>
      <c r="E64" s="9" t="s">
        <v>126</v>
      </c>
      <c r="F64" s="9" t="s">
        <v>13</v>
      </c>
      <c r="G64" s="9" t="s">
        <v>113</v>
      </c>
      <c r="H64" s="10" t="s">
        <v>154</v>
      </c>
    </row>
    <row r="65" spans="1:8" ht="32">
      <c r="A65" s="8" t="s">
        <v>52</v>
      </c>
      <c r="B65" s="9" t="s">
        <v>27</v>
      </c>
      <c r="C65" s="9" t="s">
        <v>68</v>
      </c>
      <c r="D65" s="9" t="s">
        <v>109</v>
      </c>
      <c r="E65" s="9" t="s">
        <v>131</v>
      </c>
      <c r="F65" s="9" t="s">
        <v>13</v>
      </c>
      <c r="G65" s="9" t="s">
        <v>113</v>
      </c>
      <c r="H65" s="10" t="s">
        <v>154</v>
      </c>
    </row>
    <row r="66" spans="1:8" ht="32">
      <c r="A66" s="11" t="s">
        <v>52</v>
      </c>
      <c r="B66" s="12" t="s">
        <v>27</v>
      </c>
      <c r="C66" s="12" t="s">
        <v>69</v>
      </c>
      <c r="D66" s="12" t="s">
        <v>109</v>
      </c>
      <c r="E66" s="12" t="s">
        <v>138</v>
      </c>
      <c r="F66" s="12" t="s">
        <v>13</v>
      </c>
      <c r="G66" s="12" t="s">
        <v>113</v>
      </c>
      <c r="H66" s="13" t="s">
        <v>154</v>
      </c>
    </row>
  </sheetData>
  <mergeCells count="2">
    <mergeCell ref="A1:H1"/>
    <mergeCell ref="A2:H2"/>
  </mergeCells>
  <conditionalFormatting sqref="F5:F66">
    <cfRule type="expression" dxfId="7" priority="1">
      <formula>F5="Branch"</formula>
    </cfRule>
    <cfRule type="expression" dxfId="6" priority="2">
      <formula>F5="Candidate"</formula>
    </cfRule>
    <cfRule type="expression" dxfId="5" priority="3">
      <formula>F5="Uncertain"</formula>
    </cfRule>
    <cfRule type="expression" dxfId="4" priority="4">
      <formula>F5="No branch"</formula>
    </cfRule>
    <cfRule type="expression" dxfId="3" priority="5">
      <formula>F5="待标注"</formula>
    </cfRule>
    <cfRule type="expression" dxfId="2" priority="6">
      <formula>F5="Linear"</formula>
    </cfRule>
    <cfRule type="expression" dxfId="1" priority="7">
      <formula>F5="Acceleration"</formula>
    </cfRule>
    <cfRule type="expression" dxfId="0" priority="8">
      <formula>F5="Saturation"</formula>
    </cfRule>
  </conditionalFormatting>
  <dataValidations count="1">
    <dataValidation type="list" sqref="F5:F66" xr:uid="{00000000-0002-0000-1000-000000000000}">
      <formula1>"Branch,Candidate,Linear,Acceleration,Saturation,Uncertain,No branch"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P_Q_TRIM</vt:lpstr>
      <vt:lpstr>P_Q_RAW</vt:lpstr>
      <vt:lpstr>ET_Q_RAW</vt:lpstr>
      <vt:lpstr>RSDS_Q_RAW</vt:lpstr>
      <vt:lpstr>RLDS_Q_RAW</vt:lpstr>
      <vt:lpstr>HFLS_Q_RAW</vt:lpstr>
      <vt:lpstr>HFSS_Q_RAW</vt:lpstr>
      <vt:lpstr>HFSS_Q_TRIM</vt:lpstr>
      <vt:lpstr>P_ET_RAW</vt:lpstr>
      <vt:lpstr>MRSOS_Q_TRIM</vt:lpstr>
      <vt:lpstr>RLUS_Q_RAW</vt:lpstr>
      <vt:lpstr>RLUS_Q_TRIM</vt:lpstr>
      <vt:lpstr>MRROS_Q_TRIM</vt:lpstr>
      <vt:lpstr>HFLS_Q_TRIM</vt:lpstr>
      <vt:lpstr>PRSN_Q_TRIM</vt:lpstr>
      <vt:lpstr>Label_Log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Zhiyi Zhu</cp:lastModifiedBy>
  <dcterms:created xsi:type="dcterms:W3CDTF">2026-09-05T19:17:24Z</dcterms:created>
  <dcterms:modified xsi:type="dcterms:W3CDTF">2026-09-05T19:17:25Z</dcterms:modified>
</cp:coreProperties>
</file>