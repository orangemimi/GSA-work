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142c5179404900" /></Relationships>
</file>

<file path=xl/workbook.xml><?xml version="1.0" encoding="utf-8"?>
<x:workbook xmlns:x="http://schemas.openxmlformats.org/spreadsheetml/2006/main">
  <x:sheets>
    <x:sheet xmlns:r="http://schemas.openxmlformats.org/officeDocument/2006/relationships" name="README" sheetId="1" r:id="R320143ff61f949e1"/>
    <x:sheet xmlns:r="http://schemas.openxmlformats.org/officeDocument/2006/relationships" name="Availability Matrix" sheetId="2" r:id="Rc720d40f8ab54938"/>
    <x:sheet xmlns:r="http://schemas.openxmlformats.org/officeDocument/2006/relationships" name="Resolution Matrix" sheetId="3" r:id="R350470589a554b37"/>
    <x:sheet xmlns:r="http://schemas.openxmlformats.org/officeDocument/2006/relationships" name="Variable Dictionary" sheetId="4" r:id="Rf28c4d645d114c9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6">
    <x:font>
      <x:sz val="11"/>
      <x:name val="Carlito"/>
    </x:font>
    <x:font>
      <x:b/>
      <x:sz val="18"/>
      <x:color rgb="FFFFFFFF"/>
      <x:name val="Carlito"/>
    </x:font>
    <x:font>
      <x:b/>
      <x:sz val="11"/>
      <x:color rgb="FF17365D"/>
      <x:name val="Carlito"/>
    </x:font>
    <x:font>
      <x:b/>
      <x:sz val="13"/>
      <x:color rgb="FF274E13"/>
      <x:name val="Carlito"/>
    </x:font>
    <x:font>
      <x:sz val="11"/>
      <x:color rgb="FF333333"/>
      <x:name val="Carlito"/>
    </x:font>
    <x:font>
      <x:b/>
      <x:sz val="11"/>
      <x:color rgb="FFFFFFFF"/>
      <x:name val="Carlito"/>
    </x:font>
    <x:font>
      <x:b/>
      <x:sz val="18"/>
      <x:color rgb="FFFFFFFF"/>
      <x:name val="Aptos"/>
    </x:font>
    <x:font>
      <x:sz val="11"/>
      <x:name val="Aptos"/>
    </x:font>
    <x:font>
      <x:b/>
      <x:sz val="11"/>
      <x:color rgb="FF17365D"/>
      <x:name val="Aptos"/>
    </x:font>
    <x:font>
      <x:b/>
      <x:sz val="13"/>
      <x:color rgb="FF274E13"/>
      <x:name val="Aptos"/>
    </x:font>
    <x:font>
      <x:sz val="11"/>
      <x:color rgb="FF333333"/>
      <x:name val="Aptos"/>
    </x:font>
    <x:font>
      <x:b/>
      <x:sz val="11"/>
      <x:color rgb="FFFFFFFF"/>
      <x:name val="Aptos"/>
    </x:font>
    <x:font>
      <x:b/>
      <x:sz val="16"/>
      <x:color rgb="FFFFFFFF"/>
      <x:name val="Carlito"/>
    </x:font>
    <x:font>
      <x:b/>
      <x:sz val="9"/>
      <x:color rgb="FF17365D"/>
      <x:name val="Carlito"/>
    </x:font>
    <x:font>
      <x:b/>
      <x:sz val="11"/>
      <x:name val="Carlito"/>
    </x:font>
    <x:font>
      <x:sz val="10"/>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D9EAD3"/>
      </x:patternFill>
    </x:fill>
    <x:fill>
      <x:patternFill patternType="solid">
        <x:fgColor rgb="FFF7F7F7"/>
      </x:patternFill>
    </x:fill>
    <x:fill>
      <x:patternFill patternType="solid">
        <x:fgColor rgb="FF4472C4"/>
      </x:patternFill>
    </x:fill>
  </x:fills>
  <x:borders count="10">
    <x:border/>
    <x:border>
      <x:right style="thin">
        <x:color rgb="FFE6E6E6"/>
      </x:right>
      <x:bottom style="thin">
        <x:color rgb="FFE6E6E6"/>
      </x:bottom>
    </x:border>
    <x:border>
      <x:left style="thin">
        <x:color rgb="FFE6E6E6"/>
      </x:left>
      <x:right style="thin">
        <x:color rgb="FFE6E6E6"/>
      </x:right>
      <x:bottom style="thin">
        <x:color rgb="FFE6E6E6"/>
      </x:bottom>
    </x:border>
    <x:border>
      <x:left style="thin">
        <x:color rgb="FFE6E6E6"/>
      </x:left>
      <x:bottom style="thin">
        <x:color rgb="FFE6E6E6"/>
      </x:bottom>
    </x:border>
    <x:border>
      <x:right style="thin">
        <x:color rgb="FFE6E6E6"/>
      </x:right>
      <x:top style="thin">
        <x:color rgb="FFE6E6E6"/>
      </x:top>
      <x:bottom style="thin">
        <x:color rgb="FFE6E6E6"/>
      </x:bottom>
    </x:border>
    <x:border>
      <x:left style="thin">
        <x:color rgb="FFE6E6E6"/>
      </x:left>
      <x:right style="thin">
        <x:color rgb="FFE6E6E6"/>
      </x:right>
      <x:top style="thin">
        <x:color rgb="FFE6E6E6"/>
      </x:top>
      <x:bottom style="thin">
        <x:color rgb="FFE6E6E6"/>
      </x:bottom>
    </x:border>
    <x:border>
      <x:left style="thin">
        <x:color rgb="FFE6E6E6"/>
      </x:left>
      <x:top style="thin">
        <x:color rgb="FFE6E6E6"/>
      </x:top>
      <x:bottom style="thin">
        <x:color rgb="FFE6E6E6"/>
      </x:bottom>
    </x:border>
    <x:border>
      <x:right style="thin">
        <x:color rgb="FFE6E6E6"/>
      </x:right>
      <x:top style="thin">
        <x:color rgb="FFE6E6E6"/>
      </x:top>
    </x:border>
    <x:border>
      <x:left style="thin">
        <x:color rgb="FFE6E6E6"/>
      </x:left>
      <x:right style="thin">
        <x:color rgb="FFE6E6E6"/>
      </x:right>
      <x:top style="thin">
        <x:color rgb="FFE6E6E6"/>
      </x:top>
    </x:border>
    <x:border>
      <x:left style="thin">
        <x:color rgb="FFE6E6E6"/>
      </x:left>
      <x:top style="thin">
        <x:color rgb="FFE6E6E6"/>
      </x:top>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6" fillId="2" borderId="0" xfId="0" applyNumberFormat="1" applyFont="1" applyFill="1" applyBorder="1"/>
    <x:xf numFmtId="0" fontId="7" fillId="0" borderId="0" xfId="0" applyNumberFormat="1" applyFont="1" applyFill="1" applyBorder="1"/>
    <x:xf numFmtId="0" fontId="8" fillId="3" borderId="0" xfId="0" applyNumberFormat="1" applyFont="1" applyFill="1" applyBorder="1"/>
    <x:xf numFmtId="0" fontId="7" fillId="0" borderId="0" xfId="0" applyNumberFormat="1" applyFont="1" applyFill="1" applyBorder="1" applyAlignment="1">
      <x:alignment wrapText="1"/>
    </x:xf>
    <x:xf numFmtId="0" fontId="9" fillId="4" borderId="0" xfId="0" applyNumberFormat="1" applyFont="1" applyFill="1" applyBorder="1"/>
    <x:xf numFmtId="0" fontId="10" fillId="5" borderId="0" xfId="0" applyNumberFormat="1" applyFont="1" applyFill="1" applyBorder="1" applyAlignment="1">
      <x:alignment vertical="top" wrapText="1"/>
    </x:xf>
    <x:xf numFmtId="0" fontId="11" fillId="6" borderId="0" xfId="0" applyNumberFormat="1" applyFont="1" applyFill="1" applyBorder="1"/>
    <x:xf numFmtId="0" fontId="12" fillId="2" borderId="0" xfId="0" applyNumberFormat="1" applyFont="1" applyFill="1" applyBorder="1"/>
    <x:xf numFmtId="0" fontId="13" fillId="3" borderId="0" xfId="0" applyNumberFormat="1" applyFont="1" applyFill="1" applyBorder="1"/>
    <x:xf numFmtId="0" fontId="13" fillId="3" borderId="0" xfId="0" applyNumberFormat="1" applyFont="1" applyFill="1" applyBorder="1" applyAlignment="1">
      <x:alignment wrapText="1"/>
    </x:xf>
    <x:xf numFmtId="0" fontId="13" fillId="3" borderId="0" xfId="0" applyNumberFormat="1" applyFont="1" applyFill="1" applyBorder="1" applyAlignment="1">
      <x:alignment horizontal="center" wrapText="1"/>
    </x:xf>
    <x:xf numFmtId="0" fontId="13" fillId="3" borderId="0" xfId="0" applyNumberFormat="1" applyFont="1" applyFill="1" applyBorder="1" applyAlignment="1">
      <x:alignment horizontal="center" vertical="center" wrapText="1"/>
    </x:xf>
    <x:xf numFmtId="0" fontId="13" fillId="3" borderId="0" xfId="0" applyNumberFormat="1" applyFont="1" applyFill="1" applyBorder="1" applyAlignment="1">
      <x:alignment horizontal="left" vertical="center" wrapText="1"/>
    </x:xf>
    <x:xf numFmtId="200" fontId="0" fillId="0" borderId="0" xfId="0" applyNumberFormat="1" applyFont="1" applyFill="1" applyBorder="1"/>
    <x:xf numFmtId="0" fontId="14" fillId="0" borderId="0" xfId="0" applyNumberFormat="1" applyFont="1" applyFill="1" applyBorder="1"/>
    <x:xf numFmtId="0" fontId="15" fillId="0" borderId="0" xfId="0" applyNumberFormat="1" applyFont="1" applyFill="1" applyBorder="1"/>
    <x:xf numFmtId="0" fontId="15" fillId="0" borderId="0" xfId="0" applyNumberFormat="1" applyFont="1" applyFill="1" applyBorder="1" applyAlignment="1">
      <x:alignment horizontal="center"/>
    </x:xf>
    <x:xf numFmtId="0" fontId="15" fillId="0" borderId="0" xfId="0" applyNumberFormat="1" applyFont="1" applyFill="1" applyBorder="1" applyAlignment="1">
      <x:alignment horizontal="center" vertical="center"/>
    </x:xf>
    <x:xf numFmtId="0" fontId="14" fillId="0" borderId="1" xfId="0" applyNumberFormat="1" applyFont="1" applyFill="1" applyBorder="1"/>
    <x:xf numFmtId="0" fontId="0" fillId="0" borderId="2" xfId="0" applyNumberFormat="1" applyFont="1" applyFill="1" applyBorder="1"/>
    <x:xf numFmtId="200" fontId="0" fillId="0" borderId="2" xfId="0" applyNumberFormat="1" applyFont="1" applyFill="1" applyBorder="1"/>
    <x:xf numFmtId="0" fontId="15" fillId="0" borderId="2" xfId="0" applyNumberFormat="1" applyFont="1" applyFill="1" applyBorder="1" applyAlignment="1">
      <x:alignment horizontal="center" vertical="center"/>
    </x:xf>
    <x:xf numFmtId="0" fontId="15" fillId="0" borderId="3" xfId="0" applyNumberFormat="1" applyFont="1" applyFill="1" applyBorder="1" applyAlignment="1">
      <x:alignment horizontal="center" vertical="center"/>
    </x:xf>
    <x:xf numFmtId="0" fontId="14" fillId="0" borderId="4" xfId="0" applyNumberFormat="1" applyFont="1" applyFill="1" applyBorder="1"/>
    <x:xf numFmtId="0" fontId="0" fillId="0" borderId="5" xfId="0" applyNumberFormat="1" applyFont="1" applyFill="1" applyBorder="1"/>
    <x:xf numFmtId="200" fontId="0" fillId="0" borderId="5" xfId="0" applyNumberFormat="1" applyFont="1" applyFill="1" applyBorder="1"/>
    <x:xf numFmtId="0" fontId="15" fillId="0" borderId="5" xfId="0" applyNumberFormat="1" applyFont="1" applyFill="1" applyBorder="1" applyAlignment="1">
      <x:alignment horizontal="center" vertical="center"/>
    </x:xf>
    <x:xf numFmtId="0" fontId="15" fillId="0" borderId="6" xfId="0" applyNumberFormat="1" applyFont="1" applyFill="1" applyBorder="1" applyAlignment="1">
      <x:alignment horizontal="center" vertical="center"/>
    </x:xf>
    <x:xf numFmtId="0" fontId="14" fillId="0" borderId="7" xfId="0" applyNumberFormat="1" applyFont="1" applyFill="1" applyBorder="1"/>
    <x:xf numFmtId="0" fontId="0" fillId="0" borderId="8" xfId="0" applyNumberFormat="1" applyFont="1" applyFill="1" applyBorder="1"/>
    <x:xf numFmtId="200" fontId="0" fillId="0" borderId="8" xfId="0" applyNumberFormat="1" applyFont="1" applyFill="1" applyBorder="1"/>
    <x:xf numFmtId="0" fontId="15" fillId="0" borderId="8" xfId="0" applyNumberFormat="1" applyFont="1" applyFill="1" applyBorder="1" applyAlignment="1">
      <x:alignment horizontal="center" vertical="center"/>
    </x:xf>
    <x:xf numFmtId="0" fontId="15" fillId="0" borderId="9" xfId="0" applyNumberFormat="1" applyFont="1" applyFill="1" applyBorder="1" applyAlignment="1">
      <x:alignment horizontal="center" vertical="center"/>
    </x:xf>
    <x:xf numFmtId="0" fontId="5" fillId="6" borderId="0" xfId="0" applyNumberFormat="1" applyFont="1" applyFill="1" applyBorder="1" applyAlignment="1">
      <x:alignment wrapText="1"/>
    </x:xf>
    <x:xf numFmtId="0" fontId="0" fillId="0" borderId="1"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9" xfId="0" applyNumberFormat="1" applyFont="1" applyFill="1" applyBorder="1"/>
    <x:xf numFmtId="0" fontId="0" fillId="3" borderId="1" xfId="0" applyNumberFormat="1" applyFont="1" applyFill="1" applyBorder="1"/>
    <x:xf numFmtId="0" fontId="0" fillId="3" borderId="4" xfId="0" applyNumberFormat="1" applyFont="1" applyFill="1" applyBorder="1"/>
    <x:xf numFmtId="0" fontId="0" fillId="3" borderId="7" xfId="0" applyNumberFormat="1" applyFont="1" applyFill="1" applyBorder="1"/>
    <x:xf numFmtId="0" fontId="2" fillId="3" borderId="1" xfId="0" applyNumberFormat="1" applyFont="1" applyFill="1" applyBorder="1"/>
    <x:xf numFmtId="0" fontId="2" fillId="3" borderId="4" xfId="0" applyNumberFormat="1" applyFont="1" applyFill="1" applyBorder="1"/>
    <x:xf numFmtId="0" fontId="2" fillId="3" borderId="7" xfId="0" applyNumberFormat="1" applyFont="1" applyFill="1" applyBorder="1"/>
    <x:xf numFmtId="0" fontId="2" fillId="3" borderId="1" xfId="0" applyNumberFormat="1" applyFont="1" applyFill="1" applyBorder="1" applyAlignment="1">
      <x:alignment horizontal="center"/>
    </x:xf>
    <x:xf numFmtId="0" fontId="2" fillId="3" borderId="4" xfId="0" applyNumberFormat="1" applyFont="1" applyFill="1" applyBorder="1" applyAlignment="1">
      <x:alignment horizontal="center"/>
    </x:xf>
    <x:xf numFmtId="0" fontId="2" fillId="3" borderId="7" xfId="0" applyNumberFormat="1" applyFont="1" applyFill="1" applyBorder="1" applyAlignment="1">
      <x:alignment horizontal="center"/>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dxfs count="8">
    <x:dxf>
      <x:font>
        <x:color rgb="FFB31412"/>
      </x:font>
      <x:fill>
        <x:patternFill patternType="solid">
          <x:bgColor rgb="FFFCE8E6"/>
        </x:patternFill>
      </x:fill>
    </x:dxf>
    <x:dxf>
      <x:font>
        <x:b/>
        <x:color rgb="FF137333"/>
      </x:font>
      <x:fill>
        <x:patternFill patternType="solid">
          <x:bgColor rgb="FFE6F4EA"/>
        </x:patternFill>
      </x:fill>
    </x:dxf>
    <x:dxf>
      <x:font>
        <x:color rgb="FFB31412"/>
      </x:font>
      <x:fill>
        <x:patternFill patternType="solid">
          <x:bgColor rgb="FFFCE8E6"/>
        </x:patternFill>
      </x:fill>
    </x:dxf>
    <x:dxf>
      <x:font>
        <x:b/>
        <x:color rgb="FF137333"/>
      </x:font>
      <x:fill>
        <x:patternFill patternType="solid">
          <x:bgColor rgb="FFE6F4EA"/>
        </x:patternFill>
      </x:fill>
    </x:dxf>
    <x:dxf>
      <x:font>
        <x:color rgb="FF174EA6"/>
      </x:font>
      <x:fill>
        <x:patternFill patternType="solid">
          <x:bgColor rgb="FFE8F0FE"/>
        </x:patternFill>
      </x:fill>
    </x:dxf>
    <x:dxf>
      <x:font>
        <x:color rgb="FFB06000"/>
      </x:font>
      <x:fill>
        <x:patternFill patternType="solid">
          <x:bgColor rgb="FFFEF7E0"/>
        </x:patternFill>
      </x:fill>
    </x:dxf>
    <x:dxf>
      <x:font>
        <x:b/>
        <x:color rgb="FF137333"/>
      </x:font>
      <x:fill>
        <x:patternFill patternType="solid">
          <x:bgColor rgb="FFE6F4EA"/>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b046ab67704ba1" /><Relationship Type="http://schemas.openxmlformats.org/officeDocument/2006/relationships/theme" Target="/xl/theme/theme1.xml" Id="R8c7b52c8409f46cc" /><Relationship Type="http://schemas.openxmlformats.org/officeDocument/2006/relationships/sharedStrings" Target="/xl/sharedStrings.xml" Id="R7625093140514f19" /><Relationship Type="http://schemas.openxmlformats.org/officeDocument/2006/relationships/worksheet" Target="/xl/worksheets/sheet1.xml" Id="R320143ff61f949e1" /><Relationship Type="http://schemas.openxmlformats.org/officeDocument/2006/relationships/worksheet" Target="/xl/worksheets/sheet2.xml" Id="Rc720d40f8ab54938" /><Relationship Type="http://schemas.openxmlformats.org/officeDocument/2006/relationships/worksheet" Target="/xl/worksheets/sheet3.xml" Id="R350470589a554b37" /><Relationship Type="http://schemas.openxmlformats.org/officeDocument/2006/relationships/worksheet" Target="/xl/worksheets/sheet4.xml" Id="Rf28c4d645d114c9a" /></Relationships>
</file>

<file path=xl/tables/table1.xml><?xml version="1.0" encoding="utf-8"?>
<x:table xmlns:x="http://schemas.openxmlformats.org/spreadsheetml/2006/main" id="1" name="AvailabilityTable" displayName="AvailabilityTable" ref="A2:BB60" headerRowCount="1" totalsRowCount="0" totalsRowShown="0">
  <x:tableColumns count="54">
    <x:tableColumn id="1" name="Model"/>
    <x:tableColumn id="2" name="Available count"/>
    <x:tableColumn id="3" name="Coverage"/>
    <x:tableColumn id="4" name="V01&#10;Air temperature"/>
    <x:tableColumn id="5" name="V02&#10;Capacity of soil to store water"/>
    <x:tableColumn id="6" name="V03&#10;Daily maximum near-surface air temperature"/>
    <x:tableColumn id="7" name="V04&#10;Daily minimum near-surface air temperature"/>
    <x:tableColumn id="8" name="V05&#10;Eastward near-surface wind"/>
    <x:tableColumn id="9" name="V06&#10;Eastward wind"/>
    <x:tableColumn id="10" name="V07&#10;Evaporation including sublimation and transpiration"/>
    <x:tableColumn id="11" name="V08&#10;Geopotential height"/>
    <x:tableColumn id="12" name="V09&#10;Grid-cell area for atmospheric grid variables"/>
    <x:tableColumn id="13" name="V10&#10;Grid-cell area for ocean variables"/>
    <x:tableColumn id="14" name="V11&#10;Land ice area percentage"/>
    <x:tableColumn id="15" name="V12&#10;Moisture in upper portion of soil column"/>
    <x:tableColumn id="16" name="V13&#10;Near-surface air temperature"/>
    <x:tableColumn id="17" name="V14&#10;Near-surface relative humidity"/>
    <x:tableColumn id="18" name="V15&#10;Near-surface specific humidity"/>
    <x:tableColumn id="19" name="V16&#10;Near-surface wind speed"/>
    <x:tableColumn id="20" name="V17&#10;Northward near-surface wind"/>
    <x:tableColumn id="21" name="V18&#10;Northward wind"/>
    <x:tableColumn id="22" name="V19&#10;Land area percentage including lakes"/>
    <x:tableColumn id="23" name="V20&#10;Precipitation"/>
    <x:tableColumn id="24" name="V21&#10;Relative humidity"/>
    <x:tableColumn id="25" name="V22&#10;Sea area percentage"/>
    <x:tableColumn id="26" name="V23&#10;Sea-floor depth below geoid"/>
    <x:tableColumn id="27" name="V24&#10;Sea-ice area percentage on ocean grid"/>
    <x:tableColumn id="28" name="V25&#10;Sea-ice mass per area"/>
    <x:tableColumn id="29" name="V26&#10;Sea-ice thickness"/>
    <x:tableColumn id="30" name="V27&#10;Sea-level pressure"/>
    <x:tableColumn id="31" name="V28&#10;Sea-surface height above geoid"/>
    <x:tableColumn id="32" name="V29&#10;Sea-surface salinity"/>
    <x:tableColumn id="33" name="V30&#10;Sea-surface temperature"/>
    <x:tableColumn id="34" name="V31&#10;Snow depth"/>
    <x:tableColumn id="35" name="V32&#10;Snowfall flux"/>
    <x:tableColumn id="36" name="V33&#10;Specific humidity"/>
    <x:tableColumn id="37" name="V34&#10;Surface air pressure"/>
    <x:tableColumn id="38" name="V35&#10;Surface altitude"/>
    <x:tableColumn id="39" name="V36&#10;Surface downward eastward wind stress"/>
    <x:tableColumn id="40" name="V37&#10;Surface downward northward wind stress"/>
    <x:tableColumn id="41" name="V38&#10;Surface downwelling longwave radiation"/>
    <x:tableColumn id="42" name="V39&#10;Surface downwelling shortwave radiation"/>
    <x:tableColumn id="43" name="V40&#10;Surface snow amount"/>
    <x:tableColumn id="44" name="V41&#10;Surface temperature"/>
    <x:tableColumn id="45" name="V42&#10;Surface temperature of sea ice"/>
    <x:tableColumn id="46" name="V43&#10;Surface upward latent heat flux"/>
    <x:tableColumn id="47" name="V44&#10;Surface upward sensible heat flux"/>
    <x:tableColumn id="48" name="V45&#10;Surface upwelling longwave radiation"/>
    <x:tableColumn id="49" name="V46&#10;Surface upwelling shortwave radiation"/>
    <x:tableColumn id="50" name="V47&#10;TOA incident shortwave radiation"/>
    <x:tableColumn id="51" name="V48&#10;TOA outgoing longwave radiation"/>
    <x:tableColumn id="52" name="V49&#10;TOA outgoing shortwave radiation"/>
    <x:tableColumn id="53" name="V50&#10;Total cloud cover percentage"/>
    <x:tableColumn id="54" name="V51&#10;Total runoff"/>
  </x:tableColumns>
  <x:tableStyleInfo name="TableStyleMedium2" showFirstColumn="0" showLastColumn="0" showRowStripes="1" showColumnStripes="0"/>
</x:table>
</file>

<file path=xl/tables/table2.xml><?xml version="1.0" encoding="utf-8"?>
<x:table xmlns:x="http://schemas.openxmlformats.org/spreadsheetml/2006/main" id="2" name="ResolutionTable" displayName="ResolutionTable" ref="A2:BB60" headerRowCount="1" totalsRowCount="0" totalsRowShown="0">
  <x:tableColumns count="54">
    <x:tableColumn id="1" name="Model"/>
    <x:tableColumn id="2" name="Available count"/>
    <x:tableColumn id="3" name="Coverage"/>
    <x:tableColumn id="4" name="V01&#10;Air temperature"/>
    <x:tableColumn id="5" name="V02&#10;Capacity of soil to store water"/>
    <x:tableColumn id="6" name="V03&#10;Daily maximum near-surface air temperature"/>
    <x:tableColumn id="7" name="V04&#10;Daily minimum near-surface air temperature"/>
    <x:tableColumn id="8" name="V05&#10;Eastward near-surface wind"/>
    <x:tableColumn id="9" name="V06&#10;Eastward wind"/>
    <x:tableColumn id="10" name="V07&#10;Evaporation including sublimation and transpiration"/>
    <x:tableColumn id="11" name="V08&#10;Geopotential height"/>
    <x:tableColumn id="12" name="V09&#10;Grid-cell area for atmospheric grid variables"/>
    <x:tableColumn id="13" name="V10&#10;Grid-cell area for ocean variables"/>
    <x:tableColumn id="14" name="V11&#10;Land ice area percentage"/>
    <x:tableColumn id="15" name="V12&#10;Moisture in upper portion of soil column"/>
    <x:tableColumn id="16" name="V13&#10;Near-surface air temperature"/>
    <x:tableColumn id="17" name="V14&#10;Near-surface relative humidity"/>
    <x:tableColumn id="18" name="V15&#10;Near-surface specific humidity"/>
    <x:tableColumn id="19" name="V16&#10;Near-surface wind speed"/>
    <x:tableColumn id="20" name="V17&#10;Northward near-surface wind"/>
    <x:tableColumn id="21" name="V18&#10;Northward wind"/>
    <x:tableColumn id="22" name="V19&#10;Land area percentage including lakes"/>
    <x:tableColumn id="23" name="V20&#10;Precipitation"/>
    <x:tableColumn id="24" name="V21&#10;Relative humidity"/>
    <x:tableColumn id="25" name="V22&#10;Sea area percentage"/>
    <x:tableColumn id="26" name="V23&#10;Sea-floor depth below geoid"/>
    <x:tableColumn id="27" name="V24&#10;Sea-ice area percentage on ocean grid"/>
    <x:tableColumn id="28" name="V25&#10;Sea-ice mass per area"/>
    <x:tableColumn id="29" name="V26&#10;Sea-ice thickness"/>
    <x:tableColumn id="30" name="V27&#10;Sea-level pressure"/>
    <x:tableColumn id="31" name="V28&#10;Sea-surface height above geoid"/>
    <x:tableColumn id="32" name="V29&#10;Sea-surface salinity"/>
    <x:tableColumn id="33" name="V30&#10;Sea-surface temperature"/>
    <x:tableColumn id="34" name="V31&#10;Snow depth"/>
    <x:tableColumn id="35" name="V32&#10;Snowfall flux"/>
    <x:tableColumn id="36" name="V33&#10;Specific humidity"/>
    <x:tableColumn id="37" name="V34&#10;Surface air pressure"/>
    <x:tableColumn id="38" name="V35&#10;Surface altitude"/>
    <x:tableColumn id="39" name="V36&#10;Surface downward eastward wind stress"/>
    <x:tableColumn id="40" name="V37&#10;Surface downward northward wind stress"/>
    <x:tableColumn id="41" name="V38&#10;Surface downwelling longwave radiation"/>
    <x:tableColumn id="42" name="V39&#10;Surface downwelling shortwave radiation"/>
    <x:tableColumn id="43" name="V40&#10;Surface snow amount"/>
    <x:tableColumn id="44" name="V41&#10;Surface temperature"/>
    <x:tableColumn id="45" name="V42&#10;Surface temperature of sea ice"/>
    <x:tableColumn id="46" name="V43&#10;Surface upward latent heat flux"/>
    <x:tableColumn id="47" name="V44&#10;Surface upward sensible heat flux"/>
    <x:tableColumn id="48" name="V45&#10;Surface upwelling longwave radiation"/>
    <x:tableColumn id="49" name="V46&#10;Surface upwelling shortwave radiation"/>
    <x:tableColumn id="50" name="V47&#10;TOA incident shortwave radiation"/>
    <x:tableColumn id="51" name="V48&#10;TOA outgoing longwave radiation"/>
    <x:tableColumn id="52" name="V49&#10;TOA outgoing shortwave radiation"/>
    <x:tableColumn id="53" name="V50&#10;Total cloud cover percentage"/>
    <x:tableColumn id="54" name="V51&#10;Total runoff"/>
  </x:tableColumns>
  <x:tableStyleInfo name="TableStyleMedium2" showFirstColumn="0" showLastColumn="0" showRowStripes="1" showColumnStripes="0"/>
</x:table>
</file>

<file path=xl/tables/table3.xml><?xml version="1.0" encoding="utf-8"?>
<x:table xmlns:x="http://schemas.openxmlformats.org/spreadsheetml/2006/main" id="3" name="VariableDictionaryTable" displayName="VariableDictionaryTable" ref="A3:G54" headerRowCount="1" totalsRowCount="0" totalsRowShown="0">
  <x:tableColumns count="7">
    <x:tableColumn id="1" name="Code"/>
    <x:tableColumn id="2" name="CDS display name"/>
    <x:tableColumn id="3" name="CDS request key"/>
    <x:tableColumn id="4" name="CMIP6 variable_id"/>
    <x:tableColumn id="5" name="Category"/>
    <x:tableColumn id="6" name="Runoff-case role"/>
    <x:tableColumn id="7"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c6dcb20ddd47f1" /></Relationships>
</file>

<file path=xl/worksheets/_rels/sheet3.xml.rels>&#65279;<?xml version="1.0" encoding="utf-8"?><Relationships xmlns="http://schemas.openxmlformats.org/package/2006/relationships"><Relationship Type="http://schemas.openxmlformats.org/officeDocument/2006/relationships/table" Target="/xl/tables/table2.xml" Id="Re9ec634bc9304ccc" /></Relationships>
</file>

<file path=xl/worksheets/_rels/sheet4.xml.rels>&#65279;<?xml version="1.0" encoding="utf-8"?><Relationships xmlns="http://schemas.openxmlformats.org/package/2006/relationships"><Relationship Type="http://schemas.openxmlformats.org/officeDocument/2006/relationships/table" Target="/xl/tables/table3.xml" Id="R940e15489daa422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14" t="str">
        <x:v>CMIP6 CDS historical model–variable availability</x:v>
      </x:c>
      <x:c r="B1" s="14"/>
      <x:c r="C1" s="14"/>
      <x:c r="D1" s="14"/>
      <x:c r="E1" s="14"/>
      <x:c r="F1" s="14"/>
      <x:c r="G1" s="14"/>
      <x:c r="H1" s="14"/>
    </x:row>
    <x:row r="2">
      <x:c r="A2" s="15"/>
      <x:c r="B2" s="15"/>
      <x:c r="C2" s="15"/>
      <x:c r="D2" s="15"/>
      <x:c r="E2" s="15"/>
      <x:c r="F2" s="15"/>
      <x:c r="G2" s="15"/>
      <x:c r="H2" s="15"/>
    </x:row>
    <x:row r="3">
      <x:c r="A3" s="16" t="str">
        <x:v>Scope</x:v>
      </x:c>
      <x:c r="B3" s="17" t="str">
        <x:v>Copernicus CDS CMIP6 historical experiment</x:v>
      </x:c>
      <x:c r="C3" s="15"/>
      <x:c r="D3" s="15"/>
      <x:c r="E3" s="15"/>
      <x:c r="F3" s="15"/>
      <x:c r="G3" s="15"/>
      <x:c r="H3" s="15"/>
    </x:row>
    <x:row r="4">
      <x:c r="A4" s="16" t="str">
        <x:v>Source</x:v>
      </x:c>
      <x:c r="B4" s="17" t="str">
        <x:v>Copernicus CDS CMIP6 dataset</x:v>
      </x:c>
      <x:c r="C4" s="15"/>
      <x:c r="D4" s="15"/>
      <x:c r="E4" s="15"/>
      <x:c r="F4" s="15"/>
      <x:c r="G4" s="15"/>
      <x:c r="H4" s="15"/>
    </x:row>
    <x:row r="5">
      <x:c r="A5" s="16" t="str">
        <x:v>Checked</x:v>
      </x:c>
      <x:c r="B5" s="17" t="str">
        <x:v>2026-08-17</x:v>
      </x:c>
      <x:c r="C5" s="15"/>
      <x:c r="D5" s="15"/>
      <x:c r="E5" s="15"/>
      <x:c r="F5" s="15"/>
      <x:c r="G5" s="15"/>
      <x:c r="H5" s="15"/>
    </x:row>
    <x:row r="6">
      <x:c r="A6" s="16" t="str">
        <x:v>Models</x:v>
      </x:c>
      <x:c r="B6" s="17" t="n">
        <x:f>COUNTA('Availability Matrix'!$A$3:$A$200)</x:f>
        <x:v>58</x:v>
      </x:c>
      <x:c r="C6" s="15"/>
      <x:c r="D6" s="15"/>
      <x:c r="E6" s="15"/>
      <x:c r="F6" s="15"/>
      <x:c r="G6" s="15"/>
      <x:c r="H6" s="15"/>
    </x:row>
    <x:row r="7">
      <x:c r="A7" s="16" t="str">
        <x:v>Variables</x:v>
      </x:c>
      <x:c r="B7" s="17" t="n">
        <x:f>COUNTA('Variable Dictionary'!$A$4:$A$200)</x:f>
        <x:v>51</x:v>
      </x:c>
      <x:c r="C7" s="15"/>
      <x:c r="D7" s="15"/>
      <x:c r="E7" s="15"/>
      <x:c r="F7" s="15"/>
      <x:c r="G7" s="15"/>
      <x:c r="H7" s="15"/>
    </x:row>
    <x:row r="8">
      <x:c r="A8" s="16" t="str">
        <x:v>Meaning</x:v>
      </x:c>
      <x:c r="B8" s="17" t="str">
        <x:v>✓ = at least one historical product is exposed by CDS; × = unavailable in CDS constraints</x:v>
      </x:c>
      <x:c r="C8" s="15"/>
      <x:c r="D8" s="15"/>
      <x:c r="E8" s="15"/>
      <x:c r="F8" s="15"/>
      <x:c r="G8" s="15"/>
      <x:c r="H8" s="15"/>
    </x:row>
    <x:row r="9">
      <x:c r="A9" s="15"/>
      <x:c r="B9" s="15"/>
      <x:c r="C9" s="15"/>
      <x:c r="D9" s="15"/>
      <x:c r="E9" s="15"/>
      <x:c r="F9" s="15"/>
      <x:c r="G9" s="15"/>
      <x:c r="H9" s="15"/>
    </x:row>
    <x:row r="10">
      <x:c r="A10" s="18" t="str">
        <x:v>How to read the workbook</x:v>
      </x:c>
      <x:c r="B10" s="18"/>
      <x:c r="C10" s="18"/>
      <x:c r="D10" s="18"/>
      <x:c r="E10" s="18"/>
      <x:c r="F10" s="18"/>
      <x:c r="G10" s="18"/>
      <x:c r="H10" s="18"/>
    </x:row>
    <x:row r="11">
      <x:c r="A11" s="19" t="str">
        <x:v>Availability Matrix uses ✓/× for a quick model-by-variable view. Resolution Matrix distinguishes M (monthly), D (daily), F (fixed), and combinations such as M+D. A ✓ is a CDS catalogue-level result; it does not guarantee that all variables share one r*i*p*f* member. The Variable Dictionary maps CDS names to CMIP6 variable IDs. Total soil moisture (mrso) and leaf area index (lai) are not exposed in the current CDS form and must be obtained directly from ESGF.</x:v>
      </x:c>
      <x:c r="B11" s="19"/>
      <x:c r="C11" s="19"/>
      <x:c r="D11" s="19"/>
      <x:c r="E11" s="19"/>
      <x:c r="F11" s="19"/>
      <x:c r="G11" s="19"/>
      <x:c r="H11" s="19"/>
    </x:row>
    <x:row r="12">
      <x:c r="A12" s="19"/>
      <x:c r="B12" s="19"/>
      <x:c r="C12" s="19"/>
      <x:c r="D12" s="19"/>
      <x:c r="E12" s="19"/>
      <x:c r="F12" s="19"/>
      <x:c r="G12" s="19"/>
      <x:c r="H12" s="19"/>
    </x:row>
    <x:row r="13">
      <x:c r="A13" s="19"/>
      <x:c r="B13" s="19"/>
      <x:c r="C13" s="19"/>
      <x:c r="D13" s="19"/>
      <x:c r="E13" s="19"/>
      <x:c r="F13" s="19"/>
      <x:c r="G13" s="19"/>
      <x:c r="H13" s="19"/>
    </x:row>
    <x:row r="14">
      <x:c r="A14" s="19"/>
      <x:c r="B14" s="19"/>
      <x:c r="C14" s="19"/>
      <x:c r="D14" s="19"/>
      <x:c r="E14" s="19"/>
      <x:c r="F14" s="19"/>
      <x:c r="G14" s="19"/>
      <x:c r="H14" s="19"/>
    </x:row>
    <x:row r="15">
      <x:c r="A15" s="19"/>
      <x:c r="B15" s="19"/>
      <x:c r="C15" s="19"/>
      <x:c r="D15" s="19"/>
      <x:c r="E15" s="19"/>
      <x:c r="F15" s="19"/>
      <x:c r="G15" s="19"/>
      <x:c r="H15" s="19"/>
    </x:row>
    <x:row r="16">
      <x:c r="A16" s="19"/>
      <x:c r="B16" s="19"/>
      <x:c r="C16" s="19"/>
      <x:c r="D16" s="19"/>
      <x:c r="E16" s="19"/>
      <x:c r="F16" s="19"/>
      <x:c r="G16" s="19"/>
      <x:c r="H16" s="19"/>
    </x:row>
    <x:row r="17">
      <x:c r="A17" s="19"/>
      <x:c r="B17" s="19"/>
      <x:c r="C17" s="19"/>
      <x:c r="D17" s="19"/>
      <x:c r="E17" s="19"/>
      <x:c r="F17" s="19"/>
      <x:c r="G17" s="19"/>
      <x:c r="H17" s="19"/>
    </x:row>
    <x:row r="18">
      <x:c r="A18" s="15"/>
      <x:c r="B18" s="15"/>
      <x:c r="C18" s="15"/>
      <x:c r="D18" s="15"/>
      <x:c r="E18" s="15"/>
      <x:c r="F18" s="15"/>
      <x:c r="G18" s="15"/>
      <x:c r="H18" s="15"/>
    </x:row>
    <x:row r="19">
      <x:c r="A19" s="20" t="str">
        <x:v>Status</x:v>
      </x:c>
      <x:c r="B19" s="20" t="str">
        <x:v>Definition</x:v>
      </x:c>
      <x:c r="C19" s="15"/>
      <x:c r="D19" s="15"/>
      <x:c r="E19" s="15"/>
      <x:c r="F19" s="15"/>
      <x:c r="G19" s="15"/>
      <x:c r="H19" s="15"/>
    </x:row>
    <x:row r="20">
      <x:c r="A20" s="15" t="str">
        <x:v>M</x:v>
      </x:c>
      <x:c r="B20" s="15" t="str">
        <x:v>Monthly product available</x:v>
      </x:c>
      <x:c r="C20" s="15"/>
      <x:c r="D20" s="15"/>
      <x:c r="E20" s="15"/>
      <x:c r="F20" s="15"/>
      <x:c r="G20" s="15"/>
      <x:c r="H20" s="15"/>
    </x:row>
    <x:row r="21">
      <x:c r="A21" s="15" t="str">
        <x:v>D</x:v>
      </x:c>
      <x:c r="B21" s="15" t="str">
        <x:v>Daily product available</x:v>
      </x:c>
      <x:c r="C21" s="15"/>
      <x:c r="D21" s="15"/>
      <x:c r="E21" s="15"/>
      <x:c r="F21" s="15"/>
      <x:c r="G21" s="15"/>
      <x:c r="H21" s="15"/>
    </x:row>
    <x:row r="22">
      <x:c r="A22" s="15" t="str">
        <x:v>F</x:v>
      </x:c>
      <x:c r="B22" s="15" t="str">
        <x:v>Fixed field available</x:v>
      </x:c>
      <x:c r="C22" s="15"/>
      <x:c r="D22" s="15"/>
      <x:c r="E22" s="15"/>
      <x:c r="F22" s="15"/>
      <x:c r="G22" s="15"/>
      <x:c r="H22" s="15"/>
    </x:row>
    <x:row r="23">
      <x:c r="A23" s="15" t="str">
        <x:v>×</x:v>
      </x:c>
      <x:c r="B23" s="15" t="str">
        <x:v>No matching CDS historical constraint</x:v>
      </x:c>
      <x:c r="C23" s="15"/>
      <x:c r="D23" s="15"/>
      <x:c r="E23" s="15"/>
      <x:c r="F23" s="15"/>
      <x:c r="G23" s="15"/>
      <x:c r="H23" s="15"/>
    </x:row>
  </x:sheetData>
  <x:mergeCells>
    <x:mergeCell ref="A1:H1"/>
    <x:mergeCell ref="A10:H10"/>
    <x:mergeCell ref="A11: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3" hidden="0" customWidth="1"/>
    <x:col min="3" max="3" width="10"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 min="27" max="27" width="9" hidden="0" customWidth="1"/>
    <x:col min="28" max="28" width="9" hidden="0" customWidth="1"/>
    <x:col min="29" max="29" width="9" hidden="0" customWidth="1"/>
    <x:col min="30" max="30" width="9" hidden="0" customWidth="1"/>
    <x:col min="31" max="31" width="9" hidden="0" customWidth="1"/>
    <x:col min="32" max="32" width="9" hidden="0" customWidth="1"/>
    <x:col min="33" max="33" width="9" hidden="0" customWidth="1"/>
    <x:col min="34" max="34" width="9" hidden="0" customWidth="1"/>
    <x:col min="35" max="35" width="9" hidden="0" customWidth="1"/>
    <x:col min="36" max="36" width="9" hidden="0" customWidth="1"/>
    <x:col min="37" max="37" width="9" hidden="0" customWidth="1"/>
    <x:col min="38" max="38" width="9" hidden="0" customWidth="1"/>
    <x:col min="39" max="39" width="9" hidden="0" customWidth="1"/>
    <x:col min="40" max="40" width="9" hidden="0" customWidth="1"/>
    <x:col min="41" max="41" width="9" hidden="0" customWidth="1"/>
    <x:col min="42" max="42" width="9" hidden="0" customWidth="1"/>
    <x:col min="43" max="43" width="9" hidden="0" customWidth="1"/>
    <x:col min="44" max="44" width="9" hidden="0" customWidth="1"/>
    <x:col min="45" max="45" width="9" hidden="0" customWidth="1"/>
    <x:col min="46" max="46" width="9" hidden="0" customWidth="1"/>
    <x:col min="47" max="47" width="9" hidden="0" customWidth="1"/>
    <x:col min="48" max="48" width="9" hidden="0" customWidth="1"/>
    <x:col min="49" max="49" width="9" hidden="0" customWidth="1"/>
    <x:col min="50" max="50" width="9" hidden="0" customWidth="1"/>
    <x:col min="51" max="51" width="9" hidden="0" customWidth="1"/>
    <x:col min="52" max="52" width="9" hidden="0" customWidth="1"/>
    <x:col min="53" max="53" width="9" hidden="0" customWidth="1"/>
    <x:col min="54" max="54" width="9" hidden="0" customWidth="1"/>
  </x:cols>
  <x:sheetData>
    <x:row r="1" ht="28" customHeight="1">
      <x:c r="A1" s="21" t="str">
        <x:v>Historical availability (any temporal resolution)</x:v>
      </x:c>
      <x:c r="B1" s="21"/>
      <x:c r="C1" s="21"/>
      <x:c r="D1" s="21"/>
      <x:c r="E1" s="21"/>
      <x:c r="F1" s="21"/>
    </x:row>
    <x:row r="2" ht="64" customHeight="1">
      <x:c r="A2" s="26" t="str">
        <x:v>Model</x:v>
      </x:c>
      <x:c r="B2" s="25" t="str">
        <x:v>Available count</x:v>
      </x:c>
      <x:c r="C2" s="25" t="str">
        <x:v>Coverage</x:v>
      </x:c>
      <x:c r="D2" s="25" t="str">
        <x:v>V01
Air temperature</x:v>
      </x:c>
      <x:c r="E2" s="25" t="str">
        <x:v>V02
Capacity of soil to store water</x:v>
      </x:c>
      <x:c r="F2" s="25" t="str">
        <x:v>V03
Daily maximum near-surface air temperature</x:v>
      </x:c>
      <x:c r="G2" s="25" t="str">
        <x:v>V04
Daily minimum near-surface air temperature</x:v>
      </x:c>
      <x:c r="H2" s="25" t="str">
        <x:v>V05
Eastward near-surface wind</x:v>
      </x:c>
      <x:c r="I2" s="25" t="str">
        <x:v>V06
Eastward wind</x:v>
      </x:c>
      <x:c r="J2" s="25" t="str">
        <x:v>V07
Evaporation including sublimation and transpiration</x:v>
      </x:c>
      <x:c r="K2" s="25" t="str">
        <x:v>V08
Geopotential height</x:v>
      </x:c>
      <x:c r="L2" s="25" t="str">
        <x:v>V09
Grid-cell area for atmospheric grid variables</x:v>
      </x:c>
      <x:c r="M2" s="25" t="str">
        <x:v>V10
Grid-cell area for ocean variables</x:v>
      </x:c>
      <x:c r="N2" s="25" t="str">
        <x:v>V11
Land ice area percentage</x:v>
      </x:c>
      <x:c r="O2" s="25" t="str">
        <x:v>V12
Moisture in upper portion of soil column</x:v>
      </x:c>
      <x:c r="P2" s="25" t="str">
        <x:v>V13
Near-surface air temperature</x:v>
      </x:c>
      <x:c r="Q2" s="25" t="str">
        <x:v>V14
Near-surface relative humidity</x:v>
      </x:c>
      <x:c r="R2" s="25" t="str">
        <x:v>V15
Near-surface specific humidity</x:v>
      </x:c>
      <x:c r="S2" s="25" t="str">
        <x:v>V16
Near-surface wind speed</x:v>
      </x:c>
      <x:c r="T2" s="25" t="str">
        <x:v>V17
Northward near-surface wind</x:v>
      </x:c>
      <x:c r="U2" s="25" t="str">
        <x:v>V18
Northward wind</x:v>
      </x:c>
      <x:c r="V2" s="25" t="str">
        <x:v>V19
Land area percentage including lakes</x:v>
      </x:c>
      <x:c r="W2" s="25" t="str">
        <x:v>V20
Precipitation</x:v>
      </x:c>
      <x:c r="X2" s="25" t="str">
        <x:v>V21
Relative humidity</x:v>
      </x:c>
      <x:c r="Y2" s="25" t="str">
        <x:v>V22
Sea area percentage</x:v>
      </x:c>
      <x:c r="Z2" s="25" t="str">
        <x:v>V23
Sea-floor depth below geoid</x:v>
      </x:c>
      <x:c r="AA2" s="25" t="str">
        <x:v>V24
Sea-ice area percentage on ocean grid</x:v>
      </x:c>
      <x:c r="AB2" s="25" t="str">
        <x:v>V25
Sea-ice mass per area</x:v>
      </x:c>
      <x:c r="AC2" s="25" t="str">
        <x:v>V26
Sea-ice thickness</x:v>
      </x:c>
      <x:c r="AD2" s="25" t="str">
        <x:v>V27
Sea-level pressure</x:v>
      </x:c>
      <x:c r="AE2" s="25" t="str">
        <x:v>V28
Sea-surface height above geoid</x:v>
      </x:c>
      <x:c r="AF2" s="25" t="str">
        <x:v>V29
Sea-surface salinity</x:v>
      </x:c>
      <x:c r="AG2" s="25" t="str">
        <x:v>V30
Sea-surface temperature</x:v>
      </x:c>
      <x:c r="AH2" s="25" t="str">
        <x:v>V31
Snow depth</x:v>
      </x:c>
      <x:c r="AI2" s="25" t="str">
        <x:v>V32
Snowfall flux</x:v>
      </x:c>
      <x:c r="AJ2" s="25" t="str">
        <x:v>V33
Specific humidity</x:v>
      </x:c>
      <x:c r="AK2" s="25" t="str">
        <x:v>V34
Surface air pressure</x:v>
      </x:c>
      <x:c r="AL2" s="25" t="str">
        <x:v>V35
Surface altitude</x:v>
      </x:c>
      <x:c r="AM2" s="25" t="str">
        <x:v>V36
Surface downward eastward wind stress</x:v>
      </x:c>
      <x:c r="AN2" s="25" t="str">
        <x:v>V37
Surface downward northward wind stress</x:v>
      </x:c>
      <x:c r="AO2" s="25" t="str">
        <x:v>V38
Surface downwelling longwave radiation</x:v>
      </x:c>
      <x:c r="AP2" s="25" t="str">
        <x:v>V39
Surface downwelling shortwave radiation</x:v>
      </x:c>
      <x:c r="AQ2" s="25" t="str">
        <x:v>V40
Surface snow amount</x:v>
      </x:c>
      <x:c r="AR2" s="25" t="str">
        <x:v>V41
Surface temperature</x:v>
      </x:c>
      <x:c r="AS2" s="25" t="str">
        <x:v>V42
Surface temperature of sea ice</x:v>
      </x:c>
      <x:c r="AT2" s="25" t="str">
        <x:v>V43
Surface upward latent heat flux</x:v>
      </x:c>
      <x:c r="AU2" s="25" t="str">
        <x:v>V44
Surface upward sensible heat flux</x:v>
      </x:c>
      <x:c r="AV2" s="25" t="str">
        <x:v>V45
Surface upwelling longwave radiation</x:v>
      </x:c>
      <x:c r="AW2" s="25" t="str">
        <x:v>V46
Surface upwelling shortwave radiation</x:v>
      </x:c>
      <x:c r="AX2" s="25" t="str">
        <x:v>V47
TOA incident shortwave radiation</x:v>
      </x:c>
      <x:c r="AY2" s="25" t="str">
        <x:v>V48
TOA outgoing longwave radiation</x:v>
      </x:c>
      <x:c r="AZ2" s="25" t="str">
        <x:v>V49
TOA outgoing shortwave radiation</x:v>
      </x:c>
      <x:c r="BA2" s="25" t="str">
        <x:v>V50
Total cloud cover percentage</x:v>
      </x:c>
      <x:c r="BB2" s="25" t="str">
        <x:v>V51
Total runoff</x:v>
      </x:c>
    </x:row>
    <x:row r="3">
      <x:c r="A3" s="32" t="str">
        <x:v>access_cm2</x:v>
      </x:c>
      <x:c r="B3" s="33" t="n">
        <x:f>COUNTIF(D3:BB3,"&lt;&gt;×")</x:f>
        <x:v>47</x:v>
      </x:c>
      <x:c r="C3" s="34" t="n">
        <x:f>B3/51</x:f>
        <x:v>0.9215686274509803</x:v>
      </x:c>
      <x:c r="D3" s="35" t="str">
        <x:v>✓</x:v>
      </x:c>
      <x:c r="E3" s="35" t="str">
        <x:v>×</x:v>
      </x:c>
      <x:c r="F3" s="35" t="str">
        <x:v>✓</x:v>
      </x:c>
      <x:c r="G3" s="35" t="str">
        <x:v>✓</x:v>
      </x:c>
      <x:c r="H3" s="35" t="str">
        <x:v>✓</x:v>
      </x:c>
      <x:c r="I3" s="35" t="str">
        <x:v>✓</x:v>
      </x:c>
      <x:c r="J3" s="35" t="str">
        <x:v>✓</x:v>
      </x:c>
      <x:c r="K3" s="35" t="str">
        <x:v>✓</x:v>
      </x:c>
      <x:c r="L3" s="35" t="str">
        <x:v>✓</x:v>
      </x:c>
      <x:c r="M3" s="35" t="str">
        <x:v>✓</x:v>
      </x:c>
      <x:c r="N3" s="35" t="str">
        <x:v>✓</x:v>
      </x:c>
      <x:c r="O3" s="35" t="str">
        <x:v>✓</x:v>
      </x:c>
      <x:c r="P3" s="35" t="str">
        <x:v>✓</x:v>
      </x:c>
      <x:c r="Q3" s="35" t="str">
        <x:v>×</x:v>
      </x:c>
      <x:c r="R3" s="35" t="str">
        <x:v>✓</x:v>
      </x:c>
      <x:c r="S3" s="35" t="str">
        <x:v>✓</x:v>
      </x:c>
      <x:c r="T3" s="35" t="str">
        <x:v>✓</x:v>
      </x:c>
      <x:c r="U3" s="35" t="str">
        <x:v>✓</x:v>
      </x:c>
      <x:c r="V3" s="35" t="str">
        <x:v>✓</x:v>
      </x:c>
      <x:c r="W3" s="35" t="str">
        <x:v>✓</x:v>
      </x:c>
      <x:c r="X3" s="35" t="str">
        <x:v>✓</x:v>
      </x:c>
      <x:c r="Y3" s="35" t="str">
        <x:v>✓</x:v>
      </x:c>
      <x:c r="Z3" s="35" t="str">
        <x:v>✓</x:v>
      </x:c>
      <x:c r="AA3" s="35" t="str">
        <x:v>✓</x:v>
      </x:c>
      <x:c r="AB3" s="35" t="str">
        <x:v>✓</x:v>
      </x:c>
      <x:c r="AC3" s="35" t="str">
        <x:v>✓</x:v>
      </x:c>
      <x:c r="AD3" s="35" t="str">
        <x:v>✓</x:v>
      </x:c>
      <x:c r="AE3" s="35" t="str">
        <x:v>✓</x:v>
      </x:c>
      <x:c r="AF3" s="35" t="str">
        <x:v>✓</x:v>
      </x:c>
      <x:c r="AG3" s="35" t="str">
        <x:v>✓</x:v>
      </x:c>
      <x:c r="AH3" s="35" t="str">
        <x:v>×</x:v>
      </x:c>
      <x:c r="AI3" s="35" t="str">
        <x:v>✓</x:v>
      </x:c>
      <x:c r="AJ3" s="35" t="str">
        <x:v>✓</x:v>
      </x:c>
      <x:c r="AK3" s="35" t="str">
        <x:v>✓</x:v>
      </x:c>
      <x:c r="AL3" s="35" t="str">
        <x:v>✓</x:v>
      </x:c>
      <x:c r="AM3" s="35" t="str">
        <x:v>✓</x:v>
      </x:c>
      <x:c r="AN3" s="35" t="str">
        <x:v>✓</x:v>
      </x:c>
      <x:c r="AO3" s="35" t="str">
        <x:v>✓</x:v>
      </x:c>
      <x:c r="AP3" s="35" t="str">
        <x:v>✓</x:v>
      </x:c>
      <x:c r="AQ3" s="35" t="str">
        <x:v>×</x:v>
      </x:c>
      <x:c r="AR3" s="35" t="str">
        <x:v>✓</x:v>
      </x:c>
      <x:c r="AS3" s="35" t="str">
        <x:v>✓</x:v>
      </x:c>
      <x:c r="AT3" s="35" t="str">
        <x:v>✓</x:v>
      </x:c>
      <x:c r="AU3" s="35" t="str">
        <x:v>✓</x:v>
      </x:c>
      <x:c r="AV3" s="35" t="str">
        <x:v>✓</x:v>
      </x:c>
      <x:c r="AW3" s="35" t="str">
        <x:v>✓</x:v>
      </x:c>
      <x:c r="AX3" s="35" t="str">
        <x:v>✓</x:v>
      </x:c>
      <x:c r="AY3" s="35" t="str">
        <x:v>✓</x:v>
      </x:c>
      <x:c r="AZ3" s="35" t="str">
        <x:v>✓</x:v>
      </x:c>
      <x:c r="BA3" s="35" t="str">
        <x:v>✓</x:v>
      </x:c>
      <x:c r="BB3" s="36" t="str">
        <x:v>✓</x:v>
      </x:c>
    </x:row>
    <x:row r="4">
      <x:c r="A4" s="37" t="str">
        <x:v>access_esm1_5</x:v>
      </x:c>
      <x:c r="B4" s="38" t="n">
        <x:f>COUNTIF(D4:BB4,"&lt;&gt;×")</x:f>
        <x:v>47</x:v>
      </x:c>
      <x:c r="C4" s="39" t="n">
        <x:f>B4/51</x:f>
        <x:v>0.9215686274509803</x:v>
      </x:c>
      <x:c r="D4" s="40" t="str">
        <x:v>✓</x:v>
      </x:c>
      <x:c r="E4" s="40" t="str">
        <x:v>×</x:v>
      </x:c>
      <x:c r="F4" s="40" t="str">
        <x:v>✓</x:v>
      </x:c>
      <x:c r="G4" s="40" t="str">
        <x:v>✓</x:v>
      </x:c>
      <x:c r="H4" s="40" t="str">
        <x:v>✓</x:v>
      </x:c>
      <x:c r="I4" s="40" t="str">
        <x:v>✓</x:v>
      </x:c>
      <x:c r="J4" s="40" t="str">
        <x:v>✓</x:v>
      </x:c>
      <x:c r="K4" s="40" t="str">
        <x:v>✓</x:v>
      </x:c>
      <x:c r="L4" s="40" t="str">
        <x:v>✓</x:v>
      </x:c>
      <x:c r="M4" s="40" t="str">
        <x:v>✓</x:v>
      </x:c>
      <x:c r="N4" s="40" t="str">
        <x:v>✓</x:v>
      </x:c>
      <x:c r="O4" s="40" t="str">
        <x:v>✓</x:v>
      </x:c>
      <x:c r="P4" s="40" t="str">
        <x:v>✓</x:v>
      </x:c>
      <x:c r="Q4" s="40" t="str">
        <x:v>×</x:v>
      </x:c>
      <x:c r="R4" s="40" t="str">
        <x:v>✓</x:v>
      </x:c>
      <x:c r="S4" s="40" t="str">
        <x:v>✓</x:v>
      </x:c>
      <x:c r="T4" s="40" t="str">
        <x:v>✓</x:v>
      </x:c>
      <x:c r="U4" s="40" t="str">
        <x:v>✓</x:v>
      </x:c>
      <x:c r="V4" s="40" t="str">
        <x:v>✓</x:v>
      </x:c>
      <x:c r="W4" s="40" t="str">
        <x:v>✓</x:v>
      </x:c>
      <x:c r="X4" s="40" t="str">
        <x:v>✓</x:v>
      </x:c>
      <x:c r="Y4" s="40" t="str">
        <x:v>✓</x:v>
      </x:c>
      <x:c r="Z4" s="40" t="str">
        <x:v>✓</x:v>
      </x:c>
      <x:c r="AA4" s="40" t="str">
        <x:v>✓</x:v>
      </x:c>
      <x:c r="AB4" s="40" t="str">
        <x:v>✓</x:v>
      </x:c>
      <x:c r="AC4" s="40" t="str">
        <x:v>✓</x:v>
      </x:c>
      <x:c r="AD4" s="40" t="str">
        <x:v>✓</x:v>
      </x:c>
      <x:c r="AE4" s="40" t="str">
        <x:v>✓</x:v>
      </x:c>
      <x:c r="AF4" s="40" t="str">
        <x:v>✓</x:v>
      </x:c>
      <x:c r="AG4" s="40" t="str">
        <x:v>✓</x:v>
      </x:c>
      <x:c r="AH4" s="40" t="str">
        <x:v>×</x:v>
      </x:c>
      <x:c r="AI4" s="40" t="str">
        <x:v>✓</x:v>
      </x:c>
      <x:c r="AJ4" s="40" t="str">
        <x:v>✓</x:v>
      </x:c>
      <x:c r="AK4" s="40" t="str">
        <x:v>✓</x:v>
      </x:c>
      <x:c r="AL4" s="40" t="str">
        <x:v>✓</x:v>
      </x:c>
      <x:c r="AM4" s="40" t="str">
        <x:v>✓</x:v>
      </x:c>
      <x:c r="AN4" s="40" t="str">
        <x:v>✓</x:v>
      </x:c>
      <x:c r="AO4" s="40" t="str">
        <x:v>✓</x:v>
      </x:c>
      <x:c r="AP4" s="40" t="str">
        <x:v>✓</x:v>
      </x:c>
      <x:c r="AQ4" s="40" t="str">
        <x:v>✓</x:v>
      </x:c>
      <x:c r="AR4" s="40" t="str">
        <x:v>✓</x:v>
      </x:c>
      <x:c r="AS4" s="40" t="str">
        <x:v>×</x:v>
      </x:c>
      <x:c r="AT4" s="40" t="str">
        <x:v>✓</x:v>
      </x:c>
      <x:c r="AU4" s="40" t="str">
        <x:v>✓</x:v>
      </x:c>
      <x:c r="AV4" s="40" t="str">
        <x:v>✓</x:v>
      </x:c>
      <x:c r="AW4" s="40" t="str">
        <x:v>✓</x:v>
      </x:c>
      <x:c r="AX4" s="40" t="str">
        <x:v>✓</x:v>
      </x:c>
      <x:c r="AY4" s="40" t="str">
        <x:v>✓</x:v>
      </x:c>
      <x:c r="AZ4" s="40" t="str">
        <x:v>✓</x:v>
      </x:c>
      <x:c r="BA4" s="40" t="str">
        <x:v>✓</x:v>
      </x:c>
      <x:c r="BB4" s="41" t="str">
        <x:v>✓</x:v>
      </x:c>
    </x:row>
    <x:row r="5">
      <x:c r="A5" s="37" t="str">
        <x:v>awi_cm_1_1_mr</x:v>
      </x:c>
      <x:c r="B5" s="38" t="n">
        <x:f>COUNTIF(D5:BB5,"&lt;&gt;×")</x:f>
        <x:v>34</x:v>
      </x:c>
      <x:c r="C5" s="39" t="n">
        <x:f>B5/51</x:f>
        <x:v>0.6666666666666666</x:v>
      </x:c>
      <x:c r="D5" s="40" t="str">
        <x:v>✓</x:v>
      </x:c>
      <x:c r="E5" s="40" t="str">
        <x:v>✓</x:v>
      </x:c>
      <x:c r="F5" s="40" t="str">
        <x:v>✓</x:v>
      </x:c>
      <x:c r="G5" s="40" t="str">
        <x:v>✓</x:v>
      </x:c>
      <x:c r="H5" s="40" t="str">
        <x:v>✓</x:v>
      </x:c>
      <x:c r="I5" s="40" t="str">
        <x:v>✓</x:v>
      </x:c>
      <x:c r="J5" s="40" t="str">
        <x:v>✓</x:v>
      </x:c>
      <x:c r="K5" s="40" t="str">
        <x:v>✓</x:v>
      </x:c>
      <x:c r="L5" s="40" t="str">
        <x:v>×</x:v>
      </x:c>
      <x:c r="M5" s="40" t="str">
        <x:v>×</x:v>
      </x:c>
      <x:c r="N5" s="40" t="str">
        <x:v>×</x:v>
      </x:c>
      <x:c r="O5" s="40" t="str">
        <x:v>×</x:v>
      </x:c>
      <x:c r="P5" s="40" t="str">
        <x:v>✓</x:v>
      </x:c>
      <x:c r="Q5" s="40" t="str">
        <x:v>×</x:v>
      </x:c>
      <x:c r="R5" s="40" t="str">
        <x:v>✓</x:v>
      </x:c>
      <x:c r="S5" s="40" t="str">
        <x:v>✓</x:v>
      </x:c>
      <x:c r="T5" s="40" t="str">
        <x:v>✓</x:v>
      </x:c>
      <x:c r="U5" s="40" t="str">
        <x:v>✓</x:v>
      </x:c>
      <x:c r="V5" s="40" t="str">
        <x:v>✓</x:v>
      </x:c>
      <x:c r="W5" s="40" t="str">
        <x:v>✓</x:v>
      </x:c>
      <x:c r="X5" s="40" t="str">
        <x:v>✓</x:v>
      </x:c>
      <x:c r="Y5" s="40" t="str">
        <x:v>×</x:v>
      </x:c>
      <x:c r="Z5" s="40" t="str">
        <x:v>×</x:v>
      </x:c>
      <x:c r="AA5" s="40" t="str">
        <x:v>×</x:v>
      </x:c>
      <x:c r="AB5" s="40" t="str">
        <x:v>×</x:v>
      </x:c>
      <x:c r="AC5" s="40" t="str">
        <x:v>×</x:v>
      </x:c>
      <x:c r="AD5" s="40" t="str">
        <x:v>✓</x:v>
      </x:c>
      <x:c r="AE5" s="40" t="str">
        <x:v>×</x:v>
      </x:c>
      <x:c r="AF5" s="40" t="str">
        <x:v>×</x:v>
      </x:c>
      <x:c r="AG5" s="40" t="str">
        <x:v>×</x:v>
      </x:c>
      <x:c r="AH5" s="40" t="str">
        <x:v>×</x:v>
      </x:c>
      <x:c r="AI5" s="40" t="str">
        <x:v>✓</x:v>
      </x:c>
      <x:c r="AJ5" s="40" t="str">
        <x:v>✓</x:v>
      </x:c>
      <x:c r="AK5" s="40" t="str">
        <x:v>✓</x:v>
      </x:c>
      <x:c r="AL5" s="40" t="str">
        <x:v>✓</x:v>
      </x:c>
      <x:c r="AM5" s="40" t="str">
        <x:v>✓</x:v>
      </x:c>
      <x:c r="AN5" s="40" t="str">
        <x:v>✓</x:v>
      </x:c>
      <x:c r="AO5" s="40" t="str">
        <x:v>✓</x:v>
      </x:c>
      <x:c r="AP5" s="40" t="str">
        <x:v>✓</x:v>
      </x:c>
      <x:c r="AQ5" s="40" t="str">
        <x:v>×</x:v>
      </x:c>
      <x:c r="AR5" s="40" t="str">
        <x:v>✓</x:v>
      </x:c>
      <x:c r="AS5" s="40" t="str">
        <x:v>×</x:v>
      </x:c>
      <x:c r="AT5" s="40" t="str">
        <x:v>✓</x:v>
      </x:c>
      <x:c r="AU5" s="40" t="str">
        <x:v>✓</x:v>
      </x:c>
      <x:c r="AV5" s="40" t="str">
        <x:v>✓</x:v>
      </x:c>
      <x:c r="AW5" s="40" t="str">
        <x:v>✓</x:v>
      </x:c>
      <x:c r="AX5" s="40" t="str">
        <x:v>✓</x:v>
      </x:c>
      <x:c r="AY5" s="40" t="str">
        <x:v>✓</x:v>
      </x:c>
      <x:c r="AZ5" s="40" t="str">
        <x:v>✓</x:v>
      </x:c>
      <x:c r="BA5" s="40" t="str">
        <x:v>✓</x:v>
      </x:c>
      <x:c r="BB5" s="41" t="str">
        <x:v>×</x:v>
      </x:c>
    </x:row>
    <x:row r="6">
      <x:c r="A6" s="37" t="str">
        <x:v>awi_esm_1_1_lr</x:v>
      </x:c>
      <x:c r="B6" s="38" t="n">
        <x:f>COUNTIF(D6:BB6,"&lt;&gt;×")</x:f>
        <x:v>40</x:v>
      </x:c>
      <x:c r="C6" s="39" t="n">
        <x:f>B6/51</x:f>
        <x:v>0.7843137254901961</x:v>
      </x:c>
      <x:c r="D6" s="40" t="str">
        <x:v>✓</x:v>
      </x:c>
      <x:c r="E6" s="40" t="str">
        <x:v>✓</x:v>
      </x:c>
      <x:c r="F6" s="40" t="str">
        <x:v>✓</x:v>
      </x:c>
      <x:c r="G6" s="40" t="str">
        <x:v>✓</x:v>
      </x:c>
      <x:c r="H6" s="40" t="str">
        <x:v>✓</x:v>
      </x:c>
      <x:c r="I6" s="40" t="str">
        <x:v>✓</x:v>
      </x:c>
      <x:c r="J6" s="40" t="str">
        <x:v>✓</x:v>
      </x:c>
      <x:c r="K6" s="40" t="str">
        <x:v>✓</x:v>
      </x:c>
      <x:c r="L6" s="40" t="str">
        <x:v>✓</x:v>
      </x:c>
      <x:c r="M6" s="40" t="str">
        <x:v>×</x:v>
      </x:c>
      <x:c r="N6" s="40" t="str">
        <x:v>✓</x:v>
      </x:c>
      <x:c r="O6" s="40" t="str">
        <x:v>✓</x:v>
      </x:c>
      <x:c r="P6" s="40" t="str">
        <x:v>✓</x:v>
      </x:c>
      <x:c r="Q6" s="40" t="str">
        <x:v>×</x:v>
      </x:c>
      <x:c r="R6" s="40" t="str">
        <x:v>✓</x:v>
      </x:c>
      <x:c r="S6" s="40" t="str">
        <x:v>✓</x:v>
      </x:c>
      <x:c r="T6" s="40" t="str">
        <x:v>✓</x:v>
      </x:c>
      <x:c r="U6" s="40" t="str">
        <x:v>✓</x:v>
      </x:c>
      <x:c r="V6" s="40" t="str">
        <x:v>✓</x:v>
      </x:c>
      <x:c r="W6" s="40" t="str">
        <x:v>✓</x:v>
      </x:c>
      <x:c r="X6" s="40" t="str">
        <x:v>✓</x:v>
      </x:c>
      <x:c r="Y6" s="40" t="str">
        <x:v>×</x:v>
      </x:c>
      <x:c r="Z6" s="40" t="str">
        <x:v>×</x:v>
      </x:c>
      <x:c r="AA6" s="40" t="str">
        <x:v>×</x:v>
      </x:c>
      <x:c r="AB6" s="40" t="str">
        <x:v>×</x:v>
      </x:c>
      <x:c r="AC6" s="40" t="str">
        <x:v>×</x:v>
      </x:c>
      <x:c r="AD6" s="40" t="str">
        <x:v>✓</x:v>
      </x:c>
      <x:c r="AE6" s="40" t="str">
        <x:v>×</x:v>
      </x:c>
      <x:c r="AF6" s="40" t="str">
        <x:v>×</x:v>
      </x:c>
      <x:c r="AG6" s="40" t="str">
        <x:v>×</x:v>
      </x:c>
      <x:c r="AH6" s="40" t="str">
        <x:v>×</x:v>
      </x:c>
      <x:c r="AI6" s="40" t="str">
        <x:v>✓</x:v>
      </x:c>
      <x:c r="AJ6" s="40" t="str">
        <x:v>✓</x:v>
      </x:c>
      <x:c r="AK6" s="40" t="str">
        <x:v>✓</x:v>
      </x:c>
      <x:c r="AL6" s="40" t="str">
        <x:v>✓</x:v>
      </x:c>
      <x:c r="AM6" s="40" t="str">
        <x:v>✓</x:v>
      </x:c>
      <x:c r="AN6" s="40" t="str">
        <x:v>✓</x:v>
      </x:c>
      <x:c r="AO6" s="40" t="str">
        <x:v>✓</x:v>
      </x:c>
      <x:c r="AP6" s="40" t="str">
        <x:v>✓</x:v>
      </x:c>
      <x:c r="AQ6" s="40" t="str">
        <x:v>✓</x:v>
      </x:c>
      <x:c r="AR6" s="40" t="str">
        <x:v>✓</x:v>
      </x:c>
      <x:c r="AS6" s="40" t="str">
        <x:v>✓</x:v>
      </x:c>
      <x:c r="AT6" s="40" t="str">
        <x:v>✓</x:v>
      </x:c>
      <x:c r="AU6" s="40" t="str">
        <x:v>✓</x:v>
      </x:c>
      <x:c r="AV6" s="40" t="str">
        <x:v>✓</x:v>
      </x:c>
      <x:c r="AW6" s="40" t="str">
        <x:v>✓</x:v>
      </x:c>
      <x:c r="AX6" s="40" t="str">
        <x:v>✓</x:v>
      </x:c>
      <x:c r="AY6" s="40" t="str">
        <x:v>✓</x:v>
      </x:c>
      <x:c r="AZ6" s="40" t="str">
        <x:v>✓</x:v>
      </x:c>
      <x:c r="BA6" s="40" t="str">
        <x:v>✓</x:v>
      </x:c>
      <x:c r="BB6" s="41" t="str">
        <x:v>✓</x:v>
      </x:c>
    </x:row>
    <x:row r="7">
      <x:c r="A7" s="37" t="str">
        <x:v>bcc_csm2_mr</x:v>
      </x:c>
      <x:c r="B7" s="38" t="n">
        <x:f>COUNTIF(D7:BB7,"&lt;&gt;×")</x:f>
        <x:v>25</x:v>
      </x:c>
      <x:c r="C7" s="39" t="n">
        <x:f>B7/51</x:f>
        <x:v>0.49019607843137253</x:v>
      </x:c>
      <x:c r="D7" s="40" t="str">
        <x:v>×</x:v>
      </x:c>
      <x:c r="E7" s="40" t="str">
        <x:v>×</x:v>
      </x:c>
      <x:c r="F7" s="40" t="str">
        <x:v>×</x:v>
      </x:c>
      <x:c r="G7" s="40" t="str">
        <x:v>✓</x:v>
      </x:c>
      <x:c r="H7" s="40" t="str">
        <x:v>✓</x:v>
      </x:c>
      <x:c r="I7" s="40" t="str">
        <x:v>×</x:v>
      </x:c>
      <x:c r="J7" s="40" t="str">
        <x:v>✓</x:v>
      </x:c>
      <x:c r="K7" s="40" t="str">
        <x:v>×</x:v>
      </x:c>
      <x:c r="L7" s="40" t="str">
        <x:v>×</x:v>
      </x:c>
      <x:c r="M7" s="40" t="str">
        <x:v>×</x:v>
      </x:c>
      <x:c r="N7" s="40" t="str">
        <x:v>×</x:v>
      </x:c>
      <x:c r="O7" s="40" t="str">
        <x:v>✓</x:v>
      </x:c>
      <x:c r="P7" s="40" t="str">
        <x:v>✓</x:v>
      </x:c>
      <x:c r="Q7" s="40" t="str">
        <x:v>×</x:v>
      </x:c>
      <x:c r="R7" s="40" t="str">
        <x:v>×</x:v>
      </x:c>
      <x:c r="S7" s="40" t="str">
        <x:v>✓</x:v>
      </x:c>
      <x:c r="T7" s="40" t="str">
        <x:v>✓</x:v>
      </x:c>
      <x:c r="U7" s="40" t="str">
        <x:v>×</x:v>
      </x:c>
      <x:c r="V7" s="40" t="str">
        <x:v>×</x:v>
      </x:c>
      <x:c r="W7" s="40" t="str">
        <x:v>✓</x:v>
      </x:c>
      <x:c r="X7" s="40" t="str">
        <x:v>×</x:v>
      </x:c>
      <x:c r="Y7" s="40" t="str">
        <x:v>×</x:v>
      </x:c>
      <x:c r="Z7" s="40" t="str">
        <x:v>×</x:v>
      </x:c>
      <x:c r="AA7" s="40" t="str">
        <x:v>×</x:v>
      </x:c>
      <x:c r="AB7" s="40" t="str">
        <x:v>×</x:v>
      </x:c>
      <x:c r="AC7" s="40" t="str">
        <x:v>×</x:v>
      </x:c>
      <x:c r="AD7" s="40" t="str">
        <x:v>✓</x:v>
      </x:c>
      <x:c r="AE7" s="40" t="str">
        <x:v>×</x:v>
      </x:c>
      <x:c r="AF7" s="40" t="str">
        <x:v>×</x:v>
      </x:c>
      <x:c r="AG7" s="40" t="str">
        <x:v>×</x:v>
      </x:c>
      <x:c r="AH7" s="40" t="str">
        <x:v>✓</x:v>
      </x:c>
      <x:c r="AI7" s="40" t="str">
        <x:v>✓</x:v>
      </x:c>
      <x:c r="AJ7" s="40" t="str">
        <x:v>×</x:v>
      </x:c>
      <x:c r="AK7" s="40" t="str">
        <x:v>✓</x:v>
      </x:c>
      <x:c r="AL7" s="40" t="str">
        <x:v>×</x:v>
      </x:c>
      <x:c r="AM7" s="40" t="str">
        <x:v>✓</x:v>
      </x:c>
      <x:c r="AN7" s="40" t="str">
        <x:v>✓</x:v>
      </x:c>
      <x:c r="AO7" s="40" t="str">
        <x:v>✓</x:v>
      </x:c>
      <x:c r="AP7" s="40" t="str">
        <x:v>✓</x:v>
      </x:c>
      <x:c r="AQ7" s="40" t="str">
        <x:v>✓</x:v>
      </x:c>
      <x:c r="AR7" s="40" t="str">
        <x:v>✓</x:v>
      </x:c>
      <x:c r="AS7" s="40" t="str">
        <x:v>×</x:v>
      </x:c>
      <x:c r="AT7" s="40" t="str">
        <x:v>✓</x:v>
      </x:c>
      <x:c r="AU7" s="40" t="str">
        <x:v>×</x:v>
      </x:c>
      <x:c r="AV7" s="40" t="str">
        <x:v>✓</x:v>
      </x:c>
      <x:c r="AW7" s="40" t="str">
        <x:v>✓</x:v>
      </x:c>
      <x:c r="AX7" s="40" t="str">
        <x:v>×</x:v>
      </x:c>
      <x:c r="AY7" s="40" t="str">
        <x:v>✓</x:v>
      </x:c>
      <x:c r="AZ7" s="40" t="str">
        <x:v>✓</x:v>
      </x:c>
      <x:c r="BA7" s="40" t="str">
        <x:v>✓</x:v>
      </x:c>
      <x:c r="BB7" s="41" t="str">
        <x:v>✓</x:v>
      </x:c>
    </x:row>
    <x:row r="8">
      <x:c r="A8" s="37" t="str">
        <x:v>bcc_esm1</x:v>
      </x:c>
      <x:c r="B8" s="38" t="n">
        <x:f>COUNTIF(D8:BB8,"&lt;&gt;×")</x:f>
        <x:v>35</x:v>
      </x:c>
      <x:c r="C8" s="39" t="n">
        <x:f>B8/51</x:f>
        <x:v>0.6862745098039216</x:v>
      </x:c>
      <x:c r="D8" s="40" t="str">
        <x:v>✓</x:v>
      </x:c>
      <x:c r="E8" s="40" t="str">
        <x:v>×</x:v>
      </x:c>
      <x:c r="F8" s="40" t="str">
        <x:v>✓</x:v>
      </x:c>
      <x:c r="G8" s="40" t="str">
        <x:v>✓</x:v>
      </x:c>
      <x:c r="H8" s="40" t="str">
        <x:v>✓</x:v>
      </x:c>
      <x:c r="I8" s="40" t="str">
        <x:v>✓</x:v>
      </x:c>
      <x:c r="J8" s="40" t="str">
        <x:v>✓</x:v>
      </x:c>
      <x:c r="K8" s="40" t="str">
        <x:v>✓</x:v>
      </x:c>
      <x:c r="L8" s="40" t="str">
        <x:v>×</x:v>
      </x:c>
      <x:c r="M8" s="40" t="str">
        <x:v>×</x:v>
      </x:c>
      <x:c r="N8" s="40" t="str">
        <x:v>×</x:v>
      </x:c>
      <x:c r="O8" s="40" t="str">
        <x:v>✓</x:v>
      </x:c>
      <x:c r="P8" s="40" t="str">
        <x:v>✓</x:v>
      </x:c>
      <x:c r="Q8" s="40" t="str">
        <x:v>×</x:v>
      </x:c>
      <x:c r="R8" s="40" t="str">
        <x:v>✓</x:v>
      </x:c>
      <x:c r="S8" s="40" t="str">
        <x:v>✓</x:v>
      </x:c>
      <x:c r="T8" s="40" t="str">
        <x:v>✓</x:v>
      </x:c>
      <x:c r="U8" s="40" t="str">
        <x:v>✓</x:v>
      </x:c>
      <x:c r="V8" s="40" t="str">
        <x:v>×</x:v>
      </x:c>
      <x:c r="W8" s="40" t="str">
        <x:v>✓</x:v>
      </x:c>
      <x:c r="X8" s="40" t="str">
        <x:v>✓</x:v>
      </x:c>
      <x:c r="Y8" s="40" t="str">
        <x:v>×</x:v>
      </x:c>
      <x:c r="Z8" s="40" t="str">
        <x:v>×</x:v>
      </x:c>
      <x:c r="AA8" s="40" t="str">
        <x:v>×</x:v>
      </x:c>
      <x:c r="AB8" s="40" t="str">
        <x:v>×</x:v>
      </x:c>
      <x:c r="AC8" s="40" t="str">
        <x:v>×</x:v>
      </x:c>
      <x:c r="AD8" s="40" t="str">
        <x:v>✓</x:v>
      </x:c>
      <x:c r="AE8" s="40" t="str">
        <x:v>×</x:v>
      </x:c>
      <x:c r="AF8" s="40" t="str">
        <x:v>×</x:v>
      </x:c>
      <x:c r="AG8" s="40" t="str">
        <x:v>×</x:v>
      </x:c>
      <x:c r="AH8" s="40" t="str">
        <x:v>✓</x:v>
      </x:c>
      <x:c r="AI8" s="40" t="str">
        <x:v>✓</x:v>
      </x:c>
      <x:c r="AJ8" s="40" t="str">
        <x:v>✓</x:v>
      </x:c>
      <x:c r="AK8" s="40" t="str">
        <x:v>✓</x:v>
      </x:c>
      <x:c r="AL8" s="40" t="str">
        <x:v>×</x:v>
      </x:c>
      <x:c r="AM8" s="40" t="str">
        <x:v>✓</x:v>
      </x:c>
      <x:c r="AN8" s="40" t="str">
        <x:v>✓</x:v>
      </x:c>
      <x:c r="AO8" s="40" t="str">
        <x:v>✓</x:v>
      </x:c>
      <x:c r="AP8" s="40" t="str">
        <x:v>✓</x:v>
      </x:c>
      <x:c r="AQ8" s="40" t="str">
        <x:v>✓</x:v>
      </x:c>
      <x:c r="AR8" s="40" t="str">
        <x:v>✓</x:v>
      </x:c>
      <x:c r="AS8" s="40" t="str">
        <x:v>×</x:v>
      </x:c>
      <x:c r="AT8" s="40" t="str">
        <x:v>✓</x:v>
      </x:c>
      <x:c r="AU8" s="40" t="str">
        <x:v>✓</x:v>
      </x:c>
      <x:c r="AV8" s="40" t="str">
        <x:v>✓</x:v>
      </x:c>
      <x:c r="AW8" s="40" t="str">
        <x:v>✓</x:v>
      </x:c>
      <x:c r="AX8" s="40" t="str">
        <x:v>✓</x:v>
      </x:c>
      <x:c r="AY8" s="40" t="str">
        <x:v>✓</x:v>
      </x:c>
      <x:c r="AZ8" s="40" t="str">
        <x:v>✓</x:v>
      </x:c>
      <x:c r="BA8" s="40" t="str">
        <x:v>✓</x:v>
      </x:c>
      <x:c r="BB8" s="41" t="str">
        <x:v>✓</x:v>
      </x:c>
    </x:row>
    <x:row r="9">
      <x:c r="A9" s="37" t="str">
        <x:v>cams_csm1_0</x:v>
      </x:c>
      <x:c r="B9" s="38" t="n">
        <x:f>COUNTIF(D9:BB9,"&lt;&gt;×")</x:f>
        <x:v>20</x:v>
      </x:c>
      <x:c r="C9" s="39" t="n">
        <x:f>B9/51</x:f>
        <x:v>0.39215686274509803</x:v>
      </x:c>
      <x:c r="D9" s="40" t="str">
        <x:v>×</x:v>
      </x:c>
      <x:c r="E9" s="40" t="str">
        <x:v>×</x:v>
      </x:c>
      <x:c r="F9" s="40" t="str">
        <x:v>×</x:v>
      </x:c>
      <x:c r="G9" s="40" t="str">
        <x:v>×</x:v>
      </x:c>
      <x:c r="H9" s="40" t="str">
        <x:v>✓</x:v>
      </x:c>
      <x:c r="I9" s="40" t="str">
        <x:v>×</x:v>
      </x:c>
      <x:c r="J9" s="40" t="str">
        <x:v>×</x:v>
      </x:c>
      <x:c r="K9" s="40" t="str">
        <x:v>×</x:v>
      </x:c>
      <x:c r="L9" s="40" t="str">
        <x:v>×</x:v>
      </x:c>
      <x:c r="M9" s="40" t="str">
        <x:v>×</x:v>
      </x:c>
      <x:c r="N9" s="40" t="str">
        <x:v>×</x:v>
      </x:c>
      <x:c r="O9" s="40" t="str">
        <x:v>✓</x:v>
      </x:c>
      <x:c r="P9" s="40" t="str">
        <x:v>✓</x:v>
      </x:c>
      <x:c r="Q9" s="40" t="str">
        <x:v>×</x:v>
      </x:c>
      <x:c r="R9" s="40" t="str">
        <x:v>×</x:v>
      </x:c>
      <x:c r="S9" s="40" t="str">
        <x:v>×</x:v>
      </x:c>
      <x:c r="T9" s="40" t="str">
        <x:v>✓</x:v>
      </x:c>
      <x:c r="U9" s="40" t="str">
        <x:v>×</x:v>
      </x:c>
      <x:c r="V9" s="40" t="str">
        <x:v>×</x:v>
      </x:c>
      <x:c r="W9" s="40" t="str">
        <x:v>✓</x:v>
      </x:c>
      <x:c r="X9" s="40" t="str">
        <x:v>×</x:v>
      </x:c>
      <x:c r="Y9" s="40" t="str">
        <x:v>×</x:v>
      </x:c>
      <x:c r="Z9" s="40" t="str">
        <x:v>×</x:v>
      </x:c>
      <x:c r="AA9" s="40" t="str">
        <x:v>✓</x:v>
      </x:c>
      <x:c r="AB9" s="40" t="str">
        <x:v>×</x:v>
      </x:c>
      <x:c r="AC9" s="40" t="str">
        <x:v>×</x:v>
      </x:c>
      <x:c r="AD9" s="40" t="str">
        <x:v>✓</x:v>
      </x:c>
      <x:c r="AE9" s="40" t="str">
        <x:v>✓</x:v>
      </x:c>
      <x:c r="AF9" s="40" t="str">
        <x:v>×</x:v>
      </x:c>
      <x:c r="AG9" s="40" t="str">
        <x:v>✓</x:v>
      </x:c>
      <x:c r="AH9" s="40" t="str">
        <x:v>×</x:v>
      </x:c>
      <x:c r="AI9" s="40" t="str">
        <x:v>×</x:v>
      </x:c>
      <x:c r="AJ9" s="40" t="str">
        <x:v>×</x:v>
      </x:c>
      <x:c r="AK9" s="40" t="str">
        <x:v>✓</x:v>
      </x:c>
      <x:c r="AL9" s="40" t="str">
        <x:v>×</x:v>
      </x:c>
      <x:c r="AM9" s="40" t="str">
        <x:v>×</x:v>
      </x:c>
      <x:c r="AN9" s="40" t="str">
        <x:v>×</x:v>
      </x:c>
      <x:c r="AO9" s="40" t="str">
        <x:v>✓</x:v>
      </x:c>
      <x:c r="AP9" s="40" t="str">
        <x:v>✓</x:v>
      </x:c>
      <x:c r="AQ9" s="40" t="str">
        <x:v>×</x:v>
      </x:c>
      <x:c r="AR9" s="40" t="str">
        <x:v>✓</x:v>
      </x:c>
      <x:c r="AS9" s="40" t="str">
        <x:v>×</x:v>
      </x:c>
      <x:c r="AT9" s="40" t="str">
        <x:v>✓</x:v>
      </x:c>
      <x:c r="AU9" s="40" t="str">
        <x:v>✓</x:v>
      </x:c>
      <x:c r="AV9" s="40" t="str">
        <x:v>✓</x:v>
      </x:c>
      <x:c r="AW9" s="40" t="str">
        <x:v>✓</x:v>
      </x:c>
      <x:c r="AX9" s="40" t="str">
        <x:v>×</x:v>
      </x:c>
      <x:c r="AY9" s="40" t="str">
        <x:v>✓</x:v>
      </x:c>
      <x:c r="AZ9" s="40" t="str">
        <x:v>✓</x:v>
      </x:c>
      <x:c r="BA9" s="40" t="str">
        <x:v>✓</x:v>
      </x:c>
      <x:c r="BB9" s="41" t="str">
        <x:v>×</x:v>
      </x:c>
    </x:row>
    <x:row r="10">
      <x:c r="A10" s="37" t="str">
        <x:v>canesm5</x:v>
      </x:c>
      <x:c r="B10" s="38" t="n">
        <x:f>COUNTIF(D10:BB10,"&lt;&gt;×")</x:f>
        <x:v>37</x:v>
      </x:c>
      <x:c r="C10" s="39" t="n">
        <x:f>B10/51</x:f>
        <x:v>0.7254901960784313</x:v>
      </x:c>
      <x:c r="D10" s="40" t="str">
        <x:v>✓</x:v>
      </x:c>
      <x:c r="E10" s="40" t="str">
        <x:v>×</x:v>
      </x:c>
      <x:c r="F10" s="40" t="str">
        <x:v>✓</x:v>
      </x:c>
      <x:c r="G10" s="40" t="str">
        <x:v>✓</x:v>
      </x:c>
      <x:c r="H10" s="40" t="str">
        <x:v>✓</x:v>
      </x:c>
      <x:c r="I10" s="40" t="str">
        <x:v>×</x:v>
      </x:c>
      <x:c r="J10" s="40" t="str">
        <x:v>✓</x:v>
      </x:c>
      <x:c r="K10" s="40" t="str">
        <x:v>×</x:v>
      </x:c>
      <x:c r="L10" s="40" t="str">
        <x:v>×</x:v>
      </x:c>
      <x:c r="M10" s="40" t="str">
        <x:v>✓</x:v>
      </x:c>
      <x:c r="N10" s="40" t="str">
        <x:v>✓</x:v>
      </x:c>
      <x:c r="O10" s="40" t="str">
        <x:v>×</x:v>
      </x:c>
      <x:c r="P10" s="40" t="str">
        <x:v>✓</x:v>
      </x:c>
      <x:c r="Q10" s="40" t="str">
        <x:v>✓</x:v>
      </x:c>
      <x:c r="R10" s="40" t="str">
        <x:v>✓</x:v>
      </x:c>
      <x:c r="S10" s="40" t="str">
        <x:v>×</x:v>
      </x:c>
      <x:c r="T10" s="40" t="str">
        <x:v>✓</x:v>
      </x:c>
      <x:c r="U10" s="40" t="str">
        <x:v>×</x:v>
      </x:c>
      <x:c r="V10" s="40" t="str">
        <x:v>✓</x:v>
      </x:c>
      <x:c r="W10" s="40" t="str">
        <x:v>✓</x:v>
      </x:c>
      <x:c r="X10" s="40" t="str">
        <x:v>×</x:v>
      </x:c>
      <x:c r="Y10" s="40" t="str">
        <x:v>✓</x:v>
      </x:c>
      <x:c r="Z10" s="40" t="str">
        <x:v>✓</x:v>
      </x:c>
      <x:c r="AA10" s="40" t="str">
        <x:v>✓</x:v>
      </x:c>
      <x:c r="AB10" s="40" t="str">
        <x:v>×</x:v>
      </x:c>
      <x:c r="AC10" s="40" t="str">
        <x:v>✓</x:v>
      </x:c>
      <x:c r="AD10" s="40" t="str">
        <x:v>✓</x:v>
      </x:c>
      <x:c r="AE10" s="40" t="str">
        <x:v>✓</x:v>
      </x:c>
      <x:c r="AF10" s="40" t="str">
        <x:v>✓</x:v>
      </x:c>
      <x:c r="AG10" s="40" t="str">
        <x:v>✓</x:v>
      </x:c>
      <x:c r="AH10" s="40" t="str">
        <x:v>✓</x:v>
      </x:c>
      <x:c r="AI10" s="40" t="str">
        <x:v>×</x:v>
      </x:c>
      <x:c r="AJ10" s="40" t="str">
        <x:v>✓</x:v>
      </x:c>
      <x:c r="AK10" s="40" t="str">
        <x:v>✓</x:v>
      </x:c>
      <x:c r="AL10" s="40" t="str">
        <x:v>×</x:v>
      </x:c>
      <x:c r="AM10" s="40" t="str">
        <x:v>✓</x:v>
      </x:c>
      <x:c r="AN10" s="40" t="str">
        <x:v>✓</x:v>
      </x:c>
      <x:c r="AO10" s="40" t="str">
        <x:v>✓</x:v>
      </x:c>
      <x:c r="AP10" s="40" t="str">
        <x:v>✓</x:v>
      </x:c>
      <x:c r="AQ10" s="40" t="str">
        <x:v>×</x:v>
      </x:c>
      <x:c r="AR10" s="40" t="str">
        <x:v>✓</x:v>
      </x:c>
      <x:c r="AS10" s="40" t="str">
        <x:v>×</x:v>
      </x:c>
      <x:c r="AT10" s="40" t="str">
        <x:v>✓</x:v>
      </x:c>
      <x:c r="AU10" s="40" t="str">
        <x:v>✓</x:v>
      </x:c>
      <x:c r="AV10" s="40" t="str">
        <x:v>✓</x:v>
      </x:c>
      <x:c r="AW10" s="40" t="str">
        <x:v>✓</x:v>
      </x:c>
      <x:c r="AX10" s="40" t="str">
        <x:v>×</x:v>
      </x:c>
      <x:c r="AY10" s="40" t="str">
        <x:v>✓</x:v>
      </x:c>
      <x:c r="AZ10" s="40" t="str">
        <x:v>✓</x:v>
      </x:c>
      <x:c r="BA10" s="40" t="str">
        <x:v>✓</x:v>
      </x:c>
      <x:c r="BB10" s="41" t="str">
        <x:v>✓</x:v>
      </x:c>
    </x:row>
    <x:row r="11">
      <x:c r="A11" s="37" t="str">
        <x:v>canesm5_canoe</x:v>
      </x:c>
      <x:c r="B11" s="38" t="n">
        <x:f>COUNTIF(D11:BB11,"&lt;&gt;×")</x:f>
        <x:v>49</x:v>
      </x:c>
      <x:c r="C11" s="39" t="n">
        <x:f>B11/51</x:f>
        <x:v>0.9607843137254902</x:v>
      </x:c>
      <x:c r="D11" s="40" t="str">
        <x:v>✓</x:v>
      </x:c>
      <x:c r="E11" s="40" t="str">
        <x:v>×</x:v>
      </x:c>
      <x:c r="F11" s="40" t="str">
        <x:v>✓</x:v>
      </x:c>
      <x:c r="G11" s="40" t="str">
        <x:v>✓</x:v>
      </x:c>
      <x:c r="H11" s="40" t="str">
        <x:v>✓</x:v>
      </x:c>
      <x:c r="I11" s="40" t="str">
        <x:v>✓</x:v>
      </x:c>
      <x:c r="J11" s="40" t="str">
        <x:v>✓</x:v>
      </x:c>
      <x:c r="K11" s="40" t="str">
        <x:v>✓</x:v>
      </x:c>
      <x:c r="L11" s="40" t="str">
        <x:v>✓</x:v>
      </x:c>
      <x:c r="M11" s="40" t="str">
        <x:v>✓</x:v>
      </x:c>
      <x:c r="N11" s="40" t="str">
        <x:v>✓</x:v>
      </x:c>
      <x:c r="O11" s="40" t="str">
        <x:v>✓</x:v>
      </x:c>
      <x:c r="P11" s="40" t="str">
        <x:v>✓</x:v>
      </x:c>
      <x:c r="Q11" s="40" t="str">
        <x:v>✓</x:v>
      </x:c>
      <x:c r="R11" s="40" t="str">
        <x:v>✓</x:v>
      </x:c>
      <x:c r="S11" s="40" t="str">
        <x:v>✓</x:v>
      </x:c>
      <x:c r="T11" s="40" t="str">
        <x:v>✓</x:v>
      </x:c>
      <x:c r="U11" s="40" t="str">
        <x:v>✓</x:v>
      </x:c>
      <x:c r="V11" s="40" t="str">
        <x:v>✓</x:v>
      </x:c>
      <x:c r="W11" s="40" t="str">
        <x:v>✓</x:v>
      </x:c>
      <x:c r="X11" s="40" t="str">
        <x:v>✓</x:v>
      </x:c>
      <x:c r="Y11" s="40" t="str">
        <x:v>✓</x:v>
      </x:c>
      <x:c r="Z11" s="40" t="str">
        <x:v>✓</x:v>
      </x:c>
      <x:c r="AA11" s="40" t="str">
        <x:v>✓</x:v>
      </x:c>
      <x:c r="AB11" s="40" t="str">
        <x:v>✓</x:v>
      </x:c>
      <x:c r="AC11" s="40" t="str">
        <x:v>×</x:v>
      </x:c>
      <x:c r="AD11" s="40" t="str">
        <x:v>✓</x:v>
      </x:c>
      <x:c r="AE11" s="40" t="str">
        <x:v>✓</x:v>
      </x:c>
      <x:c r="AF11" s="40" t="str">
        <x:v>✓</x:v>
      </x:c>
      <x:c r="AG11" s="40" t="str">
        <x:v>✓</x:v>
      </x:c>
      <x:c r="AH11" s="40" t="str">
        <x:v>✓</x:v>
      </x:c>
      <x:c r="AI11" s="40" t="str">
        <x:v>✓</x:v>
      </x:c>
      <x:c r="AJ11" s="40" t="str">
        <x:v>✓</x:v>
      </x:c>
      <x:c r="AK11" s="40" t="str">
        <x:v>✓</x:v>
      </x:c>
      <x:c r="AL11" s="40" t="str">
        <x:v>✓</x:v>
      </x:c>
      <x:c r="AM11" s="40" t="str">
        <x:v>✓</x:v>
      </x:c>
      <x:c r="AN11" s="40" t="str">
        <x:v>✓</x:v>
      </x:c>
      <x:c r="AO11" s="40" t="str">
        <x:v>✓</x:v>
      </x:c>
      <x:c r="AP11" s="40" t="str">
        <x:v>✓</x:v>
      </x:c>
      <x:c r="AQ11" s="40" t="str">
        <x:v>✓</x:v>
      </x:c>
      <x:c r="AR11" s="40" t="str">
        <x:v>✓</x:v>
      </x:c>
      <x:c r="AS11" s="40" t="str">
        <x:v>✓</x:v>
      </x:c>
      <x:c r="AT11" s="40" t="str">
        <x:v>✓</x:v>
      </x:c>
      <x:c r="AU11" s="40" t="str">
        <x:v>✓</x:v>
      </x:c>
      <x:c r="AV11" s="40" t="str">
        <x:v>✓</x:v>
      </x:c>
      <x:c r="AW11" s="40" t="str">
        <x:v>✓</x:v>
      </x:c>
      <x:c r="AX11" s="40" t="str">
        <x:v>✓</x:v>
      </x:c>
      <x:c r="AY11" s="40" t="str">
        <x:v>✓</x:v>
      </x:c>
      <x:c r="AZ11" s="40" t="str">
        <x:v>✓</x:v>
      </x:c>
      <x:c r="BA11" s="40" t="str">
        <x:v>✓</x:v>
      </x:c>
      <x:c r="BB11" s="41" t="str">
        <x:v>✓</x:v>
      </x:c>
    </x:row>
    <x:row r="12">
      <x:c r="A12" s="37" t="str">
        <x:v>cesm2</x:v>
      </x:c>
      <x:c r="B12" s="38" t="n">
        <x:f>COUNTIF(D12:BB12,"&lt;&gt;×")</x:f>
        <x:v>35</x:v>
      </x:c>
      <x:c r="C12" s="39" t="n">
        <x:f>B12/51</x:f>
        <x:v>0.6862745098039216</x:v>
      </x:c>
      <x:c r="D12" s="40" t="str">
        <x:v>✓</x:v>
      </x:c>
      <x:c r="E12" s="40" t="str">
        <x:v>×</x:v>
      </x:c>
      <x:c r="F12" s="40" t="str">
        <x:v>×</x:v>
      </x:c>
      <x:c r="G12" s="40" t="str">
        <x:v>×</x:v>
      </x:c>
      <x:c r="H12" s="40" t="str">
        <x:v>×</x:v>
      </x:c>
      <x:c r="I12" s="40" t="str">
        <x:v>✓</x:v>
      </x:c>
      <x:c r="J12" s="40" t="str">
        <x:v>✓</x:v>
      </x:c>
      <x:c r="K12" s="40" t="str">
        <x:v>✓</x:v>
      </x:c>
      <x:c r="L12" s="40" t="str">
        <x:v>✓</x:v>
      </x:c>
      <x:c r="M12" s="40" t="str">
        <x:v>×</x:v>
      </x:c>
      <x:c r="N12" s="40" t="str">
        <x:v>✓</x:v>
      </x:c>
      <x:c r="O12" s="40" t="str">
        <x:v>✓</x:v>
      </x:c>
      <x:c r="P12" s="40" t="str">
        <x:v>✓</x:v>
      </x:c>
      <x:c r="Q12" s="40" t="str">
        <x:v>×</x:v>
      </x:c>
      <x:c r="R12" s="40" t="str">
        <x:v>✓</x:v>
      </x:c>
      <x:c r="S12" s="40" t="str">
        <x:v>✓</x:v>
      </x:c>
      <x:c r="T12" s="40" t="str">
        <x:v>×</x:v>
      </x:c>
      <x:c r="U12" s="40" t="str">
        <x:v>✓</x:v>
      </x:c>
      <x:c r="V12" s="40" t="str">
        <x:v>✓</x:v>
      </x:c>
      <x:c r="W12" s="40" t="str">
        <x:v>✓</x:v>
      </x:c>
      <x:c r="X12" s="40" t="str">
        <x:v>✓</x:v>
      </x:c>
      <x:c r="Y12" s="40" t="str">
        <x:v>✓</x:v>
      </x:c>
      <x:c r="Z12" s="40" t="str">
        <x:v>×</x:v>
      </x:c>
      <x:c r="AA12" s="40" t="str">
        <x:v>×</x:v>
      </x:c>
      <x:c r="AB12" s="40" t="str">
        <x:v>×</x:v>
      </x:c>
      <x:c r="AC12" s="40" t="str">
        <x:v>×</x:v>
      </x:c>
      <x:c r="AD12" s="40" t="str">
        <x:v>✓</x:v>
      </x:c>
      <x:c r="AE12" s="40" t="str">
        <x:v>×</x:v>
      </x:c>
      <x:c r="AF12" s="40" t="str">
        <x:v>×</x:v>
      </x:c>
      <x:c r="AG12" s="40" t="str">
        <x:v>×</x:v>
      </x:c>
      <x:c r="AH12" s="40" t="str">
        <x:v>✓</x:v>
      </x:c>
      <x:c r="AI12" s="40" t="str">
        <x:v>×</x:v>
      </x:c>
      <x:c r="AJ12" s="40" t="str">
        <x:v>✓</x:v>
      </x:c>
      <x:c r="AK12" s="40" t="str">
        <x:v>✓</x:v>
      </x:c>
      <x:c r="AL12" s="40" t="str">
        <x:v>✓</x:v>
      </x:c>
      <x:c r="AM12" s="40" t="str">
        <x:v>✓</x:v>
      </x:c>
      <x:c r="AN12" s="40" t="str">
        <x:v>✓</x:v>
      </x:c>
      <x:c r="AO12" s="40" t="str">
        <x:v>✓</x:v>
      </x:c>
      <x:c r="AP12" s="40" t="str">
        <x:v>✓</x:v>
      </x:c>
      <x:c r="AQ12" s="40" t="str">
        <x:v>✓</x:v>
      </x:c>
      <x:c r="AR12" s="40" t="str">
        <x:v>✓</x:v>
      </x:c>
      <x:c r="AS12" s="40" t="str">
        <x:v>×</x:v>
      </x:c>
      <x:c r="AT12" s="40" t="str">
        <x:v>✓</x:v>
      </x:c>
      <x:c r="AU12" s="40" t="str">
        <x:v>✓</x:v>
      </x:c>
      <x:c r="AV12" s="40" t="str">
        <x:v>✓</x:v>
      </x:c>
      <x:c r="AW12" s="40" t="str">
        <x:v>✓</x:v>
      </x:c>
      <x:c r="AX12" s="40" t="str">
        <x:v>✓</x:v>
      </x:c>
      <x:c r="AY12" s="40" t="str">
        <x:v>✓</x:v>
      </x:c>
      <x:c r="AZ12" s="40" t="str">
        <x:v>✓</x:v>
      </x:c>
      <x:c r="BA12" s="40" t="str">
        <x:v>✓</x:v>
      </x:c>
      <x:c r="BB12" s="41" t="str">
        <x:v>✓</x:v>
      </x:c>
    </x:row>
    <x:row r="13">
      <x:c r="A13" s="37" t="str">
        <x:v>cesm2_fv2</x:v>
      </x:c>
      <x:c r="B13" s="38" t="n">
        <x:f>COUNTIF(D13:BB13,"&lt;&gt;×")</x:f>
        <x:v>34</x:v>
      </x:c>
      <x:c r="C13" s="39" t="n">
        <x:f>B13/51</x:f>
        <x:v>0.6666666666666666</x:v>
      </x:c>
      <x:c r="D13" s="40" t="str">
        <x:v>✓</x:v>
      </x:c>
      <x:c r="E13" s="40" t="str">
        <x:v>×</x:v>
      </x:c>
      <x:c r="F13" s="40" t="str">
        <x:v>×</x:v>
      </x:c>
      <x:c r="G13" s="40" t="str">
        <x:v>×</x:v>
      </x:c>
      <x:c r="H13" s="40" t="str">
        <x:v>×</x:v>
      </x:c>
      <x:c r="I13" s="40" t="str">
        <x:v>✓</x:v>
      </x:c>
      <x:c r="J13" s="40" t="str">
        <x:v>✓</x:v>
      </x:c>
      <x:c r="K13" s="40" t="str">
        <x:v>✓</x:v>
      </x:c>
      <x:c r="L13" s="40" t="str">
        <x:v>✓</x:v>
      </x:c>
      <x:c r="M13" s="40" t="str">
        <x:v>×</x:v>
      </x:c>
      <x:c r="N13" s="40" t="str">
        <x:v>✓</x:v>
      </x:c>
      <x:c r="O13" s="40" t="str">
        <x:v>✓</x:v>
      </x:c>
      <x:c r="P13" s="40" t="str">
        <x:v>✓</x:v>
      </x:c>
      <x:c r="Q13" s="40" t="str">
        <x:v>×</x:v>
      </x:c>
      <x:c r="R13" s="40" t="str">
        <x:v>✓</x:v>
      </x:c>
      <x:c r="S13" s="40" t="str">
        <x:v>✓</x:v>
      </x:c>
      <x:c r="T13" s="40" t="str">
        <x:v>×</x:v>
      </x:c>
      <x:c r="U13" s="40" t="str">
        <x:v>✓</x:v>
      </x:c>
      <x:c r="V13" s="40" t="str">
        <x:v>✓</x:v>
      </x:c>
      <x:c r="W13" s="40" t="str">
        <x:v>✓</x:v>
      </x:c>
      <x:c r="X13" s="40" t="str">
        <x:v>✓</x:v>
      </x:c>
      <x:c r="Y13" s="40" t="str">
        <x:v>×</x:v>
      </x:c>
      <x:c r="Z13" s="40" t="str">
        <x:v>×</x:v>
      </x:c>
      <x:c r="AA13" s="40" t="str">
        <x:v>×</x:v>
      </x:c>
      <x:c r="AB13" s="40" t="str">
        <x:v>×</x:v>
      </x:c>
      <x:c r="AC13" s="40" t="str">
        <x:v>×</x:v>
      </x:c>
      <x:c r="AD13" s="40" t="str">
        <x:v>✓</x:v>
      </x:c>
      <x:c r="AE13" s="40" t="str">
        <x:v>×</x:v>
      </x:c>
      <x:c r="AF13" s="40" t="str">
        <x:v>×</x:v>
      </x:c>
      <x:c r="AG13" s="40" t="str">
        <x:v>×</x:v>
      </x:c>
      <x:c r="AH13" s="40" t="str">
        <x:v>✓</x:v>
      </x:c>
      <x:c r="AI13" s="40" t="str">
        <x:v>×</x:v>
      </x:c>
      <x:c r="AJ13" s="40" t="str">
        <x:v>✓</x:v>
      </x:c>
      <x:c r="AK13" s="40" t="str">
        <x:v>✓</x:v>
      </x:c>
      <x:c r="AL13" s="40" t="str">
        <x:v>✓</x:v>
      </x:c>
      <x:c r="AM13" s="40" t="str">
        <x:v>✓</x:v>
      </x:c>
      <x:c r="AN13" s="40" t="str">
        <x:v>✓</x:v>
      </x:c>
      <x:c r="AO13" s="40" t="str">
        <x:v>✓</x:v>
      </x:c>
      <x:c r="AP13" s="40" t="str">
        <x:v>✓</x:v>
      </x:c>
      <x:c r="AQ13" s="40" t="str">
        <x:v>✓</x:v>
      </x:c>
      <x:c r="AR13" s="40" t="str">
        <x:v>✓</x:v>
      </x:c>
      <x:c r="AS13" s="40" t="str">
        <x:v>×</x:v>
      </x:c>
      <x:c r="AT13" s="40" t="str">
        <x:v>✓</x:v>
      </x:c>
      <x:c r="AU13" s="40" t="str">
        <x:v>✓</x:v>
      </x:c>
      <x:c r="AV13" s="40" t="str">
        <x:v>✓</x:v>
      </x:c>
      <x:c r="AW13" s="40" t="str">
        <x:v>✓</x:v>
      </x:c>
      <x:c r="AX13" s="40" t="str">
        <x:v>✓</x:v>
      </x:c>
      <x:c r="AY13" s="40" t="str">
        <x:v>✓</x:v>
      </x:c>
      <x:c r="AZ13" s="40" t="str">
        <x:v>✓</x:v>
      </x:c>
      <x:c r="BA13" s="40" t="str">
        <x:v>✓</x:v>
      </x:c>
      <x:c r="BB13" s="41" t="str">
        <x:v>✓</x:v>
      </x:c>
    </x:row>
    <x:row r="14">
      <x:c r="A14" s="37" t="str">
        <x:v>cesm2_waccm</x:v>
      </x:c>
      <x:c r="B14" s="38" t="n">
        <x:f>COUNTIF(D14:BB14,"&lt;&gt;×")</x:f>
        <x:v>35</x:v>
      </x:c>
      <x:c r="C14" s="39" t="n">
        <x:f>B14/51</x:f>
        <x:v>0.6862745098039216</x:v>
      </x:c>
      <x:c r="D14" s="40" t="str">
        <x:v>✓</x:v>
      </x:c>
      <x:c r="E14" s="40" t="str">
        <x:v>×</x:v>
      </x:c>
      <x:c r="F14" s="40" t="str">
        <x:v>×</x:v>
      </x:c>
      <x:c r="G14" s="40" t="str">
        <x:v>×</x:v>
      </x:c>
      <x:c r="H14" s="40" t="str">
        <x:v>×</x:v>
      </x:c>
      <x:c r="I14" s="40" t="str">
        <x:v>✓</x:v>
      </x:c>
      <x:c r="J14" s="40" t="str">
        <x:v>✓</x:v>
      </x:c>
      <x:c r="K14" s="40" t="str">
        <x:v>✓</x:v>
      </x:c>
      <x:c r="L14" s="40" t="str">
        <x:v>✓</x:v>
      </x:c>
      <x:c r="M14" s="40" t="str">
        <x:v>×</x:v>
      </x:c>
      <x:c r="N14" s="40" t="str">
        <x:v>✓</x:v>
      </x:c>
      <x:c r="O14" s="40" t="str">
        <x:v>✓</x:v>
      </x:c>
      <x:c r="P14" s="40" t="str">
        <x:v>✓</x:v>
      </x:c>
      <x:c r="Q14" s="40" t="str">
        <x:v>×</x:v>
      </x:c>
      <x:c r="R14" s="40" t="str">
        <x:v>✓</x:v>
      </x:c>
      <x:c r="S14" s="40" t="str">
        <x:v>✓</x:v>
      </x:c>
      <x:c r="T14" s="40" t="str">
        <x:v>×</x:v>
      </x:c>
      <x:c r="U14" s="40" t="str">
        <x:v>✓</x:v>
      </x:c>
      <x:c r="V14" s="40" t="str">
        <x:v>✓</x:v>
      </x:c>
      <x:c r="W14" s="40" t="str">
        <x:v>✓</x:v>
      </x:c>
      <x:c r="X14" s="40" t="str">
        <x:v>✓</x:v>
      </x:c>
      <x:c r="Y14" s="40" t="str">
        <x:v>✓</x:v>
      </x:c>
      <x:c r="Z14" s="40" t="str">
        <x:v>×</x:v>
      </x:c>
      <x:c r="AA14" s="40" t="str">
        <x:v>×</x:v>
      </x:c>
      <x:c r="AB14" s="40" t="str">
        <x:v>×</x:v>
      </x:c>
      <x:c r="AC14" s="40" t="str">
        <x:v>×</x:v>
      </x:c>
      <x:c r="AD14" s="40" t="str">
        <x:v>✓</x:v>
      </x:c>
      <x:c r="AE14" s="40" t="str">
        <x:v>×</x:v>
      </x:c>
      <x:c r="AF14" s="40" t="str">
        <x:v>×</x:v>
      </x:c>
      <x:c r="AG14" s="40" t="str">
        <x:v>×</x:v>
      </x:c>
      <x:c r="AH14" s="40" t="str">
        <x:v>✓</x:v>
      </x:c>
      <x:c r="AI14" s="40" t="str">
        <x:v>×</x:v>
      </x:c>
      <x:c r="AJ14" s="40" t="str">
        <x:v>✓</x:v>
      </x:c>
      <x:c r="AK14" s="40" t="str">
        <x:v>✓</x:v>
      </x:c>
      <x:c r="AL14" s="40" t="str">
        <x:v>✓</x:v>
      </x:c>
      <x:c r="AM14" s="40" t="str">
        <x:v>✓</x:v>
      </x:c>
      <x:c r="AN14" s="40" t="str">
        <x:v>✓</x:v>
      </x:c>
      <x:c r="AO14" s="40" t="str">
        <x:v>✓</x:v>
      </x:c>
      <x:c r="AP14" s="40" t="str">
        <x:v>✓</x:v>
      </x:c>
      <x:c r="AQ14" s="40" t="str">
        <x:v>✓</x:v>
      </x:c>
      <x:c r="AR14" s="40" t="str">
        <x:v>✓</x:v>
      </x:c>
      <x:c r="AS14" s="40" t="str">
        <x:v>×</x:v>
      </x:c>
      <x:c r="AT14" s="40" t="str">
        <x:v>✓</x:v>
      </x:c>
      <x:c r="AU14" s="40" t="str">
        <x:v>✓</x:v>
      </x:c>
      <x:c r="AV14" s="40" t="str">
        <x:v>✓</x:v>
      </x:c>
      <x:c r="AW14" s="40" t="str">
        <x:v>✓</x:v>
      </x:c>
      <x:c r="AX14" s="40" t="str">
        <x:v>✓</x:v>
      </x:c>
      <x:c r="AY14" s="40" t="str">
        <x:v>✓</x:v>
      </x:c>
      <x:c r="AZ14" s="40" t="str">
        <x:v>✓</x:v>
      </x:c>
      <x:c r="BA14" s="40" t="str">
        <x:v>✓</x:v>
      </x:c>
      <x:c r="BB14" s="41" t="str">
        <x:v>✓</x:v>
      </x:c>
    </x:row>
    <x:row r="15">
      <x:c r="A15" s="37" t="str">
        <x:v>cesm2_waccm_fv2</x:v>
      </x:c>
      <x:c r="B15" s="38" t="n">
        <x:f>COUNTIF(D15:BB15,"&lt;&gt;×")</x:f>
        <x:v>35</x:v>
      </x:c>
      <x:c r="C15" s="39" t="n">
        <x:f>B15/51</x:f>
        <x:v>0.6862745098039216</x:v>
      </x:c>
      <x:c r="D15" s="40" t="str">
        <x:v>✓</x:v>
      </x:c>
      <x:c r="E15" s="40" t="str">
        <x:v>×</x:v>
      </x:c>
      <x:c r="F15" s="40" t="str">
        <x:v>×</x:v>
      </x:c>
      <x:c r="G15" s="40" t="str">
        <x:v>×</x:v>
      </x:c>
      <x:c r="H15" s="40" t="str">
        <x:v>×</x:v>
      </x:c>
      <x:c r="I15" s="40" t="str">
        <x:v>✓</x:v>
      </x:c>
      <x:c r="J15" s="40" t="str">
        <x:v>✓</x:v>
      </x:c>
      <x:c r="K15" s="40" t="str">
        <x:v>✓</x:v>
      </x:c>
      <x:c r="L15" s="40" t="str">
        <x:v>✓</x:v>
      </x:c>
      <x:c r="M15" s="40" t="str">
        <x:v>×</x:v>
      </x:c>
      <x:c r="N15" s="40" t="str">
        <x:v>✓</x:v>
      </x:c>
      <x:c r="O15" s="40" t="str">
        <x:v>✓</x:v>
      </x:c>
      <x:c r="P15" s="40" t="str">
        <x:v>✓</x:v>
      </x:c>
      <x:c r="Q15" s="40" t="str">
        <x:v>×</x:v>
      </x:c>
      <x:c r="R15" s="40" t="str">
        <x:v>✓</x:v>
      </x:c>
      <x:c r="S15" s="40" t="str">
        <x:v>✓</x:v>
      </x:c>
      <x:c r="T15" s="40" t="str">
        <x:v>×</x:v>
      </x:c>
      <x:c r="U15" s="40" t="str">
        <x:v>✓</x:v>
      </x:c>
      <x:c r="V15" s="40" t="str">
        <x:v>✓</x:v>
      </x:c>
      <x:c r="W15" s="40" t="str">
        <x:v>✓</x:v>
      </x:c>
      <x:c r="X15" s="40" t="str">
        <x:v>✓</x:v>
      </x:c>
      <x:c r="Y15" s="40" t="str">
        <x:v>✓</x:v>
      </x:c>
      <x:c r="Z15" s="40" t="str">
        <x:v>×</x:v>
      </x:c>
      <x:c r="AA15" s="40" t="str">
        <x:v>×</x:v>
      </x:c>
      <x:c r="AB15" s="40" t="str">
        <x:v>×</x:v>
      </x:c>
      <x:c r="AC15" s="40" t="str">
        <x:v>×</x:v>
      </x:c>
      <x:c r="AD15" s="40" t="str">
        <x:v>✓</x:v>
      </x:c>
      <x:c r="AE15" s="40" t="str">
        <x:v>×</x:v>
      </x:c>
      <x:c r="AF15" s="40" t="str">
        <x:v>×</x:v>
      </x:c>
      <x:c r="AG15" s="40" t="str">
        <x:v>×</x:v>
      </x:c>
      <x:c r="AH15" s="40" t="str">
        <x:v>✓</x:v>
      </x:c>
      <x:c r="AI15" s="40" t="str">
        <x:v>×</x:v>
      </x:c>
      <x:c r="AJ15" s="40" t="str">
        <x:v>✓</x:v>
      </x:c>
      <x:c r="AK15" s="40" t="str">
        <x:v>✓</x:v>
      </x:c>
      <x:c r="AL15" s="40" t="str">
        <x:v>✓</x:v>
      </x:c>
      <x:c r="AM15" s="40" t="str">
        <x:v>✓</x:v>
      </x:c>
      <x:c r="AN15" s="40" t="str">
        <x:v>✓</x:v>
      </x:c>
      <x:c r="AO15" s="40" t="str">
        <x:v>✓</x:v>
      </x:c>
      <x:c r="AP15" s="40" t="str">
        <x:v>✓</x:v>
      </x:c>
      <x:c r="AQ15" s="40" t="str">
        <x:v>✓</x:v>
      </x:c>
      <x:c r="AR15" s="40" t="str">
        <x:v>✓</x:v>
      </x:c>
      <x:c r="AS15" s="40" t="str">
        <x:v>×</x:v>
      </x:c>
      <x:c r="AT15" s="40" t="str">
        <x:v>✓</x:v>
      </x:c>
      <x:c r="AU15" s="40" t="str">
        <x:v>✓</x:v>
      </x:c>
      <x:c r="AV15" s="40" t="str">
        <x:v>✓</x:v>
      </x:c>
      <x:c r="AW15" s="40" t="str">
        <x:v>✓</x:v>
      </x:c>
      <x:c r="AX15" s="40" t="str">
        <x:v>✓</x:v>
      </x:c>
      <x:c r="AY15" s="40" t="str">
        <x:v>✓</x:v>
      </x:c>
      <x:c r="AZ15" s="40" t="str">
        <x:v>✓</x:v>
      </x:c>
      <x:c r="BA15" s="40" t="str">
        <x:v>✓</x:v>
      </x:c>
      <x:c r="BB15" s="41" t="str">
        <x:v>✓</x:v>
      </x:c>
    </x:row>
    <x:row r="16">
      <x:c r="A16" s="37" t="str">
        <x:v>ciesm</x:v>
      </x:c>
      <x:c r="B16" s="38" t="n">
        <x:f>COUNTIF(D16:BB16,"&lt;&gt;×")</x:f>
        <x:v>33</x:v>
      </x:c>
      <x:c r="C16" s="39" t="n">
        <x:f>B16/51</x:f>
        <x:v>0.6470588235294118</x:v>
      </x:c>
      <x:c r="D16" s="40" t="str">
        <x:v>✓</x:v>
      </x:c>
      <x:c r="E16" s="40" t="str">
        <x:v>×</x:v>
      </x:c>
      <x:c r="F16" s="40" t="str">
        <x:v>✓</x:v>
      </x:c>
      <x:c r="G16" s="40" t="str">
        <x:v>✓</x:v>
      </x:c>
      <x:c r="H16" s="40" t="str">
        <x:v>×</x:v>
      </x:c>
      <x:c r="I16" s="40" t="str">
        <x:v>✓</x:v>
      </x:c>
      <x:c r="J16" s="40" t="str">
        <x:v>×</x:v>
      </x:c>
      <x:c r="K16" s="40" t="str">
        <x:v>✓</x:v>
      </x:c>
      <x:c r="L16" s="40" t="str">
        <x:v>×</x:v>
      </x:c>
      <x:c r="M16" s="40" t="str">
        <x:v>✓</x:v>
      </x:c>
      <x:c r="N16" s="40" t="str">
        <x:v>×</x:v>
      </x:c>
      <x:c r="O16" s="40" t="str">
        <x:v>×</x:v>
      </x:c>
      <x:c r="P16" s="40" t="str">
        <x:v>✓</x:v>
      </x:c>
      <x:c r="Q16" s="40" t="str">
        <x:v>×</x:v>
      </x:c>
      <x:c r="R16" s="40" t="str">
        <x:v>✓</x:v>
      </x:c>
      <x:c r="S16" s="40" t="str">
        <x:v>×</x:v>
      </x:c>
      <x:c r="T16" s="40" t="str">
        <x:v>×</x:v>
      </x:c>
      <x:c r="U16" s="40" t="str">
        <x:v>✓</x:v>
      </x:c>
      <x:c r="V16" s="40" t="str">
        <x:v>×</x:v>
      </x:c>
      <x:c r="W16" s="40" t="str">
        <x:v>×</x:v>
      </x:c>
      <x:c r="X16" s="40" t="str">
        <x:v>✓</x:v>
      </x:c>
      <x:c r="Y16" s="40" t="str">
        <x:v>✓</x:v>
      </x:c>
      <x:c r="Z16" s="40" t="str">
        <x:v>✓</x:v>
      </x:c>
      <x:c r="AA16" s="40" t="str">
        <x:v>×</x:v>
      </x:c>
      <x:c r="AB16" s="40" t="str">
        <x:v>×</x:v>
      </x:c>
      <x:c r="AC16" s="40" t="str">
        <x:v>×</x:v>
      </x:c>
      <x:c r="AD16" s="40" t="str">
        <x:v>✓</x:v>
      </x:c>
      <x:c r="AE16" s="40" t="str">
        <x:v>✓</x:v>
      </x:c>
      <x:c r="AF16" s="40" t="str">
        <x:v>✓</x:v>
      </x:c>
      <x:c r="AG16" s="40" t="str">
        <x:v>✓</x:v>
      </x:c>
      <x:c r="AH16" s="40" t="str">
        <x:v>✓</x:v>
      </x:c>
      <x:c r="AI16" s="40" t="str">
        <x:v>×</x:v>
      </x:c>
      <x:c r="AJ16" s="40" t="str">
        <x:v>✓</x:v>
      </x:c>
      <x:c r="AK16" s="40" t="str">
        <x:v>✓</x:v>
      </x:c>
      <x:c r="AL16" s="40" t="str">
        <x:v>×</x:v>
      </x:c>
      <x:c r="AM16" s="40" t="str">
        <x:v>✓</x:v>
      </x:c>
      <x:c r="AN16" s="40" t="str">
        <x:v>✓</x:v>
      </x:c>
      <x:c r="AO16" s="40" t="str">
        <x:v>✓</x:v>
      </x:c>
      <x:c r="AP16" s="40" t="str">
        <x:v>✓</x:v>
      </x:c>
      <x:c r="AQ16" s="40" t="str">
        <x:v>✓</x:v>
      </x:c>
      <x:c r="AR16" s="40" t="str">
        <x:v>✓</x:v>
      </x:c>
      <x:c r="AS16" s="40" t="str">
        <x:v>×</x:v>
      </x:c>
      <x:c r="AT16" s="40" t="str">
        <x:v>✓</x:v>
      </x:c>
      <x:c r="AU16" s="40" t="str">
        <x:v>✓</x:v>
      </x:c>
      <x:c r="AV16" s="40" t="str">
        <x:v>✓</x:v>
      </x:c>
      <x:c r="AW16" s="40" t="str">
        <x:v>✓</x:v>
      </x:c>
      <x:c r="AX16" s="40" t="str">
        <x:v>✓</x:v>
      </x:c>
      <x:c r="AY16" s="40" t="str">
        <x:v>✓</x:v>
      </x:c>
      <x:c r="AZ16" s="40" t="str">
        <x:v>✓</x:v>
      </x:c>
      <x:c r="BA16" s="40" t="str">
        <x:v>×</x:v>
      </x:c>
      <x:c r="BB16" s="41" t="str">
        <x:v>✓</x:v>
      </x:c>
    </x:row>
    <x:row r="17">
      <x:c r="A17" s="37" t="str">
        <x:v>cmcc_cm2_hr4</x:v>
      </x:c>
      <x:c r="B17" s="38" t="n">
        <x:f>COUNTIF(D17:BB17,"&lt;&gt;×")</x:f>
        <x:v>41</x:v>
      </x:c>
      <x:c r="C17" s="39" t="n">
        <x:f>B17/51</x:f>
        <x:v>0.803921568627451</x:v>
      </x:c>
      <x:c r="D17" s="40" t="str">
        <x:v>✓</x:v>
      </x:c>
      <x:c r="E17" s="40" t="str">
        <x:v>×</x:v>
      </x:c>
      <x:c r="F17" s="40" t="str">
        <x:v>×</x:v>
      </x:c>
      <x:c r="G17" s="40" t="str">
        <x:v>×</x:v>
      </x:c>
      <x:c r="H17" s="40" t="str">
        <x:v>✓</x:v>
      </x:c>
      <x:c r="I17" s="40" t="str">
        <x:v>✓</x:v>
      </x:c>
      <x:c r="J17" s="40" t="str">
        <x:v>✓</x:v>
      </x:c>
      <x:c r="K17" s="40" t="str">
        <x:v>✓</x:v>
      </x:c>
      <x:c r="L17" s="40" t="str">
        <x:v>×</x:v>
      </x:c>
      <x:c r="M17" s="40" t="str">
        <x:v>✓</x:v>
      </x:c>
      <x:c r="N17" s="40" t="str">
        <x:v>✓</x:v>
      </x:c>
      <x:c r="O17" s="40" t="str">
        <x:v>✓</x:v>
      </x:c>
      <x:c r="P17" s="40" t="str">
        <x:v>✓</x:v>
      </x:c>
      <x:c r="Q17" s="40" t="str">
        <x:v>×</x:v>
      </x:c>
      <x:c r="R17" s="40" t="str">
        <x:v>✓</x:v>
      </x:c>
      <x:c r="S17" s="40" t="str">
        <x:v>✓</x:v>
      </x:c>
      <x:c r="T17" s="40" t="str">
        <x:v>✓</x:v>
      </x:c>
      <x:c r="U17" s="40" t="str">
        <x:v>✓</x:v>
      </x:c>
      <x:c r="V17" s="40" t="str">
        <x:v>✓</x:v>
      </x:c>
      <x:c r="W17" s="40" t="str">
        <x:v>✓</x:v>
      </x:c>
      <x:c r="X17" s="40" t="str">
        <x:v>✓</x:v>
      </x:c>
      <x:c r="Y17" s="40" t="str">
        <x:v>×</x:v>
      </x:c>
      <x:c r="Z17" s="40" t="str">
        <x:v>✓</x:v>
      </x:c>
      <x:c r="AA17" s="40" t="str">
        <x:v>✓</x:v>
      </x:c>
      <x:c r="AB17" s="40" t="str">
        <x:v>✓</x:v>
      </x:c>
      <x:c r="AC17" s="40" t="str">
        <x:v>×</x:v>
      </x:c>
      <x:c r="AD17" s="40" t="str">
        <x:v>✓</x:v>
      </x:c>
      <x:c r="AE17" s="40" t="str">
        <x:v>✓</x:v>
      </x:c>
      <x:c r="AF17" s="40" t="str">
        <x:v>✓</x:v>
      </x:c>
      <x:c r="AG17" s="40" t="str">
        <x:v>✓</x:v>
      </x:c>
      <x:c r="AH17" s="40" t="str">
        <x:v>×</x:v>
      </x:c>
      <x:c r="AI17" s="40" t="str">
        <x:v>✓</x:v>
      </x:c>
      <x:c r="AJ17" s="40" t="str">
        <x:v>✓</x:v>
      </x:c>
      <x:c r="AK17" s="40" t="str">
        <x:v>✓</x:v>
      </x:c>
      <x:c r="AL17" s="40" t="str">
        <x:v>✓</x:v>
      </x:c>
      <x:c r="AM17" s="40" t="str">
        <x:v>✓</x:v>
      </x:c>
      <x:c r="AN17" s="40" t="str">
        <x:v>✓</x:v>
      </x:c>
      <x:c r="AO17" s="40" t="str">
        <x:v>✓</x:v>
      </x:c>
      <x:c r="AP17" s="40" t="str">
        <x:v>✓</x:v>
      </x:c>
      <x:c r="AQ17" s="40" t="str">
        <x:v>×</x:v>
      </x:c>
      <x:c r="AR17" s="40" t="str">
        <x:v>✓</x:v>
      </x:c>
      <x:c r="AS17" s="40" t="str">
        <x:v>×</x:v>
      </x:c>
      <x:c r="AT17" s="40" t="str">
        <x:v>✓</x:v>
      </x:c>
      <x:c r="AU17" s="40" t="str">
        <x:v>✓</x:v>
      </x:c>
      <x:c r="AV17" s="40" t="str">
        <x:v>✓</x:v>
      </x:c>
      <x:c r="AW17" s="40" t="str">
        <x:v>✓</x:v>
      </x:c>
      <x:c r="AX17" s="40" t="str">
        <x:v>✓</x:v>
      </x:c>
      <x:c r="AY17" s="40" t="str">
        <x:v>✓</x:v>
      </x:c>
      <x:c r="AZ17" s="40" t="str">
        <x:v>✓</x:v>
      </x:c>
      <x:c r="BA17" s="40" t="str">
        <x:v>✓</x:v>
      </x:c>
      <x:c r="BB17" s="41" t="str">
        <x:v>✓</x:v>
      </x:c>
    </x:row>
    <x:row r="18">
      <x:c r="A18" s="37" t="str">
        <x:v>cmcc_cm2_sr5</x:v>
      </x:c>
      <x:c r="B18" s="38" t="n">
        <x:f>COUNTIF(D18:BB18,"&lt;&gt;×")</x:f>
        <x:v>45</x:v>
      </x:c>
      <x:c r="C18" s="39" t="n">
        <x:f>B18/51</x:f>
        <x:v>0.8823529411764706</x:v>
      </x:c>
      <x:c r="D18" s="40" t="str">
        <x:v>✓</x:v>
      </x:c>
      <x:c r="E18" s="40" t="str">
        <x:v>×</x:v>
      </x:c>
      <x:c r="F18" s="40" t="str">
        <x:v>×</x:v>
      </x:c>
      <x:c r="G18" s="40" t="str">
        <x:v>×</x:v>
      </x:c>
      <x:c r="H18" s="40" t="str">
        <x:v>✓</x:v>
      </x:c>
      <x:c r="I18" s="40" t="str">
        <x:v>✓</x:v>
      </x:c>
      <x:c r="J18" s="40" t="str">
        <x:v>✓</x:v>
      </x:c>
      <x:c r="K18" s="40" t="str">
        <x:v>✓</x:v>
      </x:c>
      <x:c r="L18" s="40" t="str">
        <x:v>✓</x:v>
      </x:c>
      <x:c r="M18" s="40" t="str">
        <x:v>✓</x:v>
      </x:c>
      <x:c r="N18" s="40" t="str">
        <x:v>✓</x:v>
      </x:c>
      <x:c r="O18" s="40" t="str">
        <x:v>✓</x:v>
      </x:c>
      <x:c r="P18" s="40" t="str">
        <x:v>✓</x:v>
      </x:c>
      <x:c r="Q18" s="40" t="str">
        <x:v>×</x:v>
      </x:c>
      <x:c r="R18" s="40" t="str">
        <x:v>✓</x:v>
      </x:c>
      <x:c r="S18" s="40" t="str">
        <x:v>✓</x:v>
      </x:c>
      <x:c r="T18" s="40" t="str">
        <x:v>✓</x:v>
      </x:c>
      <x:c r="U18" s="40" t="str">
        <x:v>✓</x:v>
      </x:c>
      <x:c r="V18" s="40" t="str">
        <x:v>✓</x:v>
      </x:c>
      <x:c r="W18" s="40" t="str">
        <x:v>✓</x:v>
      </x:c>
      <x:c r="X18" s="40" t="str">
        <x:v>✓</x:v>
      </x:c>
      <x:c r="Y18" s="40" t="str">
        <x:v>×</x:v>
      </x:c>
      <x:c r="Z18" s="40" t="str">
        <x:v>✓</x:v>
      </x:c>
      <x:c r="AA18" s="40" t="str">
        <x:v>✓</x:v>
      </x:c>
      <x:c r="AB18" s="40" t="str">
        <x:v>✓</x:v>
      </x:c>
      <x:c r="AC18" s="40" t="str">
        <x:v>✓</x:v>
      </x:c>
      <x:c r="AD18" s="40" t="str">
        <x:v>✓</x:v>
      </x:c>
      <x:c r="AE18" s="40" t="str">
        <x:v>✓</x:v>
      </x:c>
      <x:c r="AF18" s="40" t="str">
        <x:v>✓</x:v>
      </x:c>
      <x:c r="AG18" s="40" t="str">
        <x:v>✓</x:v>
      </x:c>
      <x:c r="AH18" s="40" t="str">
        <x:v>✓</x:v>
      </x:c>
      <x:c r="AI18" s="40" t="str">
        <x:v>✓</x:v>
      </x:c>
      <x:c r="AJ18" s="40" t="str">
        <x:v>✓</x:v>
      </x:c>
      <x:c r="AK18" s="40" t="str">
        <x:v>✓</x:v>
      </x:c>
      <x:c r="AL18" s="40" t="str">
        <x:v>✓</x:v>
      </x:c>
      <x:c r="AM18" s="40" t="str">
        <x:v>✓</x:v>
      </x:c>
      <x:c r="AN18" s="40" t="str">
        <x:v>✓</x:v>
      </x:c>
      <x:c r="AO18" s="40" t="str">
        <x:v>✓</x:v>
      </x:c>
      <x:c r="AP18" s="40" t="str">
        <x:v>✓</x:v>
      </x:c>
      <x:c r="AQ18" s="40" t="str">
        <x:v>×</x:v>
      </x:c>
      <x:c r="AR18" s="40" t="str">
        <x:v>✓</x:v>
      </x:c>
      <x:c r="AS18" s="40" t="str">
        <x:v>✓</x:v>
      </x:c>
      <x:c r="AT18" s="40" t="str">
        <x:v>✓</x:v>
      </x:c>
      <x:c r="AU18" s="40" t="str">
        <x:v>✓</x:v>
      </x:c>
      <x:c r="AV18" s="40" t="str">
        <x:v>✓</x:v>
      </x:c>
      <x:c r="AW18" s="40" t="str">
        <x:v>✓</x:v>
      </x:c>
      <x:c r="AX18" s="40" t="str">
        <x:v>✓</x:v>
      </x:c>
      <x:c r="AY18" s="40" t="str">
        <x:v>✓</x:v>
      </x:c>
      <x:c r="AZ18" s="40" t="str">
        <x:v>✓</x:v>
      </x:c>
      <x:c r="BA18" s="40" t="str">
        <x:v>✓</x:v>
      </x:c>
      <x:c r="BB18" s="41" t="str">
        <x:v>✓</x:v>
      </x:c>
    </x:row>
    <x:row r="19">
      <x:c r="A19" s="37" t="str">
        <x:v>cmcc_esm2</x:v>
      </x:c>
      <x:c r="B19" s="38" t="n">
        <x:f>COUNTIF(D19:BB19,"&lt;&gt;×")</x:f>
        <x:v>47</x:v>
      </x:c>
      <x:c r="C19" s="39" t="n">
        <x:f>B19/51</x:f>
        <x:v>0.9215686274509803</x:v>
      </x:c>
      <x:c r="D19" s="40" t="str">
        <x:v>✓</x:v>
      </x:c>
      <x:c r="E19" s="40" t="str">
        <x:v>×</x:v>
      </x:c>
      <x:c r="F19" s="40" t="str">
        <x:v>✓</x:v>
      </x:c>
      <x:c r="G19" s="40" t="str">
        <x:v>✓</x:v>
      </x:c>
      <x:c r="H19" s="40" t="str">
        <x:v>✓</x:v>
      </x:c>
      <x:c r="I19" s="40" t="str">
        <x:v>✓</x:v>
      </x:c>
      <x:c r="J19" s="40" t="str">
        <x:v>✓</x:v>
      </x:c>
      <x:c r="K19" s="40" t="str">
        <x:v>✓</x:v>
      </x:c>
      <x:c r="L19" s="40" t="str">
        <x:v>✓</x:v>
      </x:c>
      <x:c r="M19" s="40" t="str">
        <x:v>✓</x:v>
      </x:c>
      <x:c r="N19" s="40" t="str">
        <x:v>✓</x:v>
      </x:c>
      <x:c r="O19" s="40" t="str">
        <x:v>✓</x:v>
      </x:c>
      <x:c r="P19" s="40" t="str">
        <x:v>✓</x:v>
      </x:c>
      <x:c r="Q19" s="40" t="str">
        <x:v>×</x:v>
      </x:c>
      <x:c r="R19" s="40" t="str">
        <x:v>✓</x:v>
      </x:c>
      <x:c r="S19" s="40" t="str">
        <x:v>✓</x:v>
      </x:c>
      <x:c r="T19" s="40" t="str">
        <x:v>✓</x:v>
      </x:c>
      <x:c r="U19" s="40" t="str">
        <x:v>✓</x:v>
      </x:c>
      <x:c r="V19" s="40" t="str">
        <x:v>✓</x:v>
      </x:c>
      <x:c r="W19" s="40" t="str">
        <x:v>✓</x:v>
      </x:c>
      <x:c r="X19" s="40" t="str">
        <x:v>✓</x:v>
      </x:c>
      <x:c r="Y19" s="40" t="str">
        <x:v>×</x:v>
      </x:c>
      <x:c r="Z19" s="40" t="str">
        <x:v>✓</x:v>
      </x:c>
      <x:c r="AA19" s="40" t="str">
        <x:v>✓</x:v>
      </x:c>
      <x:c r="AB19" s="40" t="str">
        <x:v>✓</x:v>
      </x:c>
      <x:c r="AC19" s="40" t="str">
        <x:v>✓</x:v>
      </x:c>
      <x:c r="AD19" s="40" t="str">
        <x:v>✓</x:v>
      </x:c>
      <x:c r="AE19" s="40" t="str">
        <x:v>✓</x:v>
      </x:c>
      <x:c r="AF19" s="40" t="str">
        <x:v>✓</x:v>
      </x:c>
      <x:c r="AG19" s="40" t="str">
        <x:v>✓</x:v>
      </x:c>
      <x:c r="AH19" s="40" t="str">
        <x:v>✓</x:v>
      </x:c>
      <x:c r="AI19" s="40" t="str">
        <x:v>✓</x:v>
      </x:c>
      <x:c r="AJ19" s="40" t="str">
        <x:v>✓</x:v>
      </x:c>
      <x:c r="AK19" s="40" t="str">
        <x:v>✓</x:v>
      </x:c>
      <x:c r="AL19" s="40" t="str">
        <x:v>✓</x:v>
      </x:c>
      <x:c r="AM19" s="40" t="str">
        <x:v>✓</x:v>
      </x:c>
      <x:c r="AN19" s="40" t="str">
        <x:v>✓</x:v>
      </x:c>
      <x:c r="AO19" s="40" t="str">
        <x:v>✓</x:v>
      </x:c>
      <x:c r="AP19" s="40" t="str">
        <x:v>✓</x:v>
      </x:c>
      <x:c r="AQ19" s="40" t="str">
        <x:v>×</x:v>
      </x:c>
      <x:c r="AR19" s="40" t="str">
        <x:v>✓</x:v>
      </x:c>
      <x:c r="AS19" s="40" t="str">
        <x:v>✓</x:v>
      </x:c>
      <x:c r="AT19" s="40" t="str">
        <x:v>✓</x:v>
      </x:c>
      <x:c r="AU19" s="40" t="str">
        <x:v>✓</x:v>
      </x:c>
      <x:c r="AV19" s="40" t="str">
        <x:v>✓</x:v>
      </x:c>
      <x:c r="AW19" s="40" t="str">
        <x:v>✓</x:v>
      </x:c>
      <x:c r="AX19" s="40" t="str">
        <x:v>✓</x:v>
      </x:c>
      <x:c r="AY19" s="40" t="str">
        <x:v>✓</x:v>
      </x:c>
      <x:c r="AZ19" s="40" t="str">
        <x:v>✓</x:v>
      </x:c>
      <x:c r="BA19" s="40" t="str">
        <x:v>✓</x:v>
      </x:c>
      <x:c r="BB19" s="41" t="str">
        <x:v>✓</x:v>
      </x:c>
    </x:row>
    <x:row r="20">
      <x:c r="A20" s="37" t="str">
        <x:v>cnrm_cm6_1</x:v>
      </x:c>
      <x:c r="B20" s="38" t="n">
        <x:f>COUNTIF(D20:BB20,"&lt;&gt;×")</x:f>
        <x:v>39</x:v>
      </x:c>
      <x:c r="C20" s="39" t="n">
        <x:f>B20/51</x:f>
        <x:v>0.7647058823529411</x:v>
      </x:c>
      <x:c r="D20" s="40" t="str">
        <x:v>✓</x:v>
      </x:c>
      <x:c r="E20" s="40" t="str">
        <x:v>×</x:v>
      </x:c>
      <x:c r="F20" s="40" t="str">
        <x:v>✓</x:v>
      </x:c>
      <x:c r="G20" s="40" t="str">
        <x:v>✓</x:v>
      </x:c>
      <x:c r="H20" s="40" t="str">
        <x:v>✓</x:v>
      </x:c>
      <x:c r="I20" s="40" t="str">
        <x:v>✓</x:v>
      </x:c>
      <x:c r="J20" s="40" t="str">
        <x:v>×</x:v>
      </x:c>
      <x:c r="K20" s="40" t="str">
        <x:v>✓</x:v>
      </x:c>
      <x:c r="L20" s="40" t="str">
        <x:v>✓</x:v>
      </x:c>
      <x:c r="M20" s="40" t="str">
        <x:v>✓</x:v>
      </x:c>
      <x:c r="N20" s="40" t="str">
        <x:v>×</x:v>
      </x:c>
      <x:c r="O20" s="40" t="str">
        <x:v>×</x:v>
      </x:c>
      <x:c r="P20" s="40" t="str">
        <x:v>✓</x:v>
      </x:c>
      <x:c r="Q20" s="40" t="str">
        <x:v>✓</x:v>
      </x:c>
      <x:c r="R20" s="40" t="str">
        <x:v>✓</x:v>
      </x:c>
      <x:c r="S20" s="40" t="str">
        <x:v>✓</x:v>
      </x:c>
      <x:c r="T20" s="40" t="str">
        <x:v>✓</x:v>
      </x:c>
      <x:c r="U20" s="40" t="str">
        <x:v>✓</x:v>
      </x:c>
      <x:c r="V20" s="40" t="str">
        <x:v>×</x:v>
      </x:c>
      <x:c r="W20" s="40" t="str">
        <x:v>✓</x:v>
      </x:c>
      <x:c r="X20" s="40" t="str">
        <x:v>✓</x:v>
      </x:c>
      <x:c r="Y20" s="40" t="str">
        <x:v>×</x:v>
      </x:c>
      <x:c r="Z20" s="40" t="str">
        <x:v>×</x:v>
      </x:c>
      <x:c r="AA20" s="40" t="str">
        <x:v>✓</x:v>
      </x:c>
      <x:c r="AB20" s="40" t="str">
        <x:v>×</x:v>
      </x:c>
      <x:c r="AC20" s="40" t="str">
        <x:v>✓</x:v>
      </x:c>
      <x:c r="AD20" s="40" t="str">
        <x:v>×</x:v>
      </x:c>
      <x:c r="AE20" s="40" t="str">
        <x:v>✓</x:v>
      </x:c>
      <x:c r="AF20" s="40" t="str">
        <x:v>✓</x:v>
      </x:c>
      <x:c r="AG20" s="40" t="str">
        <x:v>✓</x:v>
      </x:c>
      <x:c r="AH20" s="40" t="str">
        <x:v>×</x:v>
      </x:c>
      <x:c r="AI20" s="40" t="str">
        <x:v>✓</x:v>
      </x:c>
      <x:c r="AJ20" s="40" t="str">
        <x:v>✓</x:v>
      </x:c>
      <x:c r="AK20" s="40" t="str">
        <x:v>✓</x:v>
      </x:c>
      <x:c r="AL20" s="40" t="str">
        <x:v>×</x:v>
      </x:c>
      <x:c r="AM20" s="40" t="str">
        <x:v>✓</x:v>
      </x:c>
      <x:c r="AN20" s="40" t="str">
        <x:v>✓</x:v>
      </x:c>
      <x:c r="AO20" s="40" t="str">
        <x:v>✓</x:v>
      </x:c>
      <x:c r="AP20" s="40" t="str">
        <x:v>✓</x:v>
      </x:c>
      <x:c r="AQ20" s="40" t="str">
        <x:v>×</x:v>
      </x:c>
      <x:c r="AR20" s="40" t="str">
        <x:v>✓</x:v>
      </x:c>
      <x:c r="AS20" s="40" t="str">
        <x:v>✓</x:v>
      </x:c>
      <x:c r="AT20" s="40" t="str">
        <x:v>✓</x:v>
      </x:c>
      <x:c r="AU20" s="40" t="str">
        <x:v>✓</x:v>
      </x:c>
      <x:c r="AV20" s="40" t="str">
        <x:v>✓</x:v>
      </x:c>
      <x:c r="AW20" s="40" t="str">
        <x:v>✓</x:v>
      </x:c>
      <x:c r="AX20" s="40" t="str">
        <x:v>✓</x:v>
      </x:c>
      <x:c r="AY20" s="40" t="str">
        <x:v>✓</x:v>
      </x:c>
      <x:c r="AZ20" s="40" t="str">
        <x:v>✓</x:v>
      </x:c>
      <x:c r="BA20" s="40" t="str">
        <x:v>✓</x:v>
      </x:c>
      <x:c r="BB20" s="41" t="str">
        <x:v>✓</x:v>
      </x:c>
    </x:row>
    <x:row r="21">
      <x:c r="A21" s="37" t="str">
        <x:v>cnrm_cm6_1_hr</x:v>
      </x:c>
      <x:c r="B21" s="38" t="n">
        <x:f>COUNTIF(D21:BB21,"&lt;&gt;×")</x:f>
        <x:v>40</x:v>
      </x:c>
      <x:c r="C21" s="39" t="n">
        <x:f>B21/51</x:f>
        <x:v>0.7843137254901961</x:v>
      </x:c>
      <x:c r="D21" s="40" t="str">
        <x:v>✓</x:v>
      </x:c>
      <x:c r="E21" s="40" t="str">
        <x:v>×</x:v>
      </x:c>
      <x:c r="F21" s="40" t="str">
        <x:v>✓</x:v>
      </x:c>
      <x:c r="G21" s="40" t="str">
        <x:v>✓</x:v>
      </x:c>
      <x:c r="H21" s="40" t="str">
        <x:v>✓</x:v>
      </x:c>
      <x:c r="I21" s="40" t="str">
        <x:v>×</x:v>
      </x:c>
      <x:c r="J21" s="40" t="str">
        <x:v>✓</x:v>
      </x:c>
      <x:c r="K21" s="40" t="str">
        <x:v>✓</x:v>
      </x:c>
      <x:c r="L21" s="40" t="str">
        <x:v>✓</x:v>
      </x:c>
      <x:c r="M21" s="40" t="str">
        <x:v>✓</x:v>
      </x:c>
      <x:c r="N21" s="40" t="str">
        <x:v>×</x:v>
      </x:c>
      <x:c r="O21" s="40" t="str">
        <x:v>✓</x:v>
      </x:c>
      <x:c r="P21" s="40" t="str">
        <x:v>✓</x:v>
      </x:c>
      <x:c r="Q21" s="40" t="str">
        <x:v>✓</x:v>
      </x:c>
      <x:c r="R21" s="40" t="str">
        <x:v>✓</x:v>
      </x:c>
      <x:c r="S21" s="40" t="str">
        <x:v>✓</x:v>
      </x:c>
      <x:c r="T21" s="40" t="str">
        <x:v>✓</x:v>
      </x:c>
      <x:c r="U21" s="40" t="str">
        <x:v>×</x:v>
      </x:c>
      <x:c r="V21" s="40" t="str">
        <x:v>×</x:v>
      </x:c>
      <x:c r="W21" s="40" t="str">
        <x:v>✓</x:v>
      </x:c>
      <x:c r="X21" s="40" t="str">
        <x:v>✓</x:v>
      </x:c>
      <x:c r="Y21" s="40" t="str">
        <x:v>×</x:v>
      </x:c>
      <x:c r="Z21" s="40" t="str">
        <x:v>×</x:v>
      </x:c>
      <x:c r="AA21" s="40" t="str">
        <x:v>✓</x:v>
      </x:c>
      <x:c r="AB21" s="40" t="str">
        <x:v>×</x:v>
      </x:c>
      <x:c r="AC21" s="40" t="str">
        <x:v>✓</x:v>
      </x:c>
      <x:c r="AD21" s="40" t="str">
        <x:v>✓</x:v>
      </x:c>
      <x:c r="AE21" s="40" t="str">
        <x:v>✓</x:v>
      </x:c>
      <x:c r="AF21" s="40" t="str">
        <x:v>✓</x:v>
      </x:c>
      <x:c r="AG21" s="40" t="str">
        <x:v>✓</x:v>
      </x:c>
      <x:c r="AH21" s="40" t="str">
        <x:v>×</x:v>
      </x:c>
      <x:c r="AI21" s="40" t="str">
        <x:v>✓</x:v>
      </x:c>
      <x:c r="AJ21" s="40" t="str">
        <x:v>✓</x:v>
      </x:c>
      <x:c r="AK21" s="40" t="str">
        <x:v>✓</x:v>
      </x:c>
      <x:c r="AL21" s="40" t="str">
        <x:v>×</x:v>
      </x:c>
      <x:c r="AM21" s="40" t="str">
        <x:v>✓</x:v>
      </x:c>
      <x:c r="AN21" s="40" t="str">
        <x:v>✓</x:v>
      </x:c>
      <x:c r="AO21" s="40" t="str">
        <x:v>✓</x:v>
      </x:c>
      <x:c r="AP21" s="40" t="str">
        <x:v>✓</x:v>
      </x:c>
      <x:c r="AQ21" s="40" t="str">
        <x:v>×</x:v>
      </x:c>
      <x:c r="AR21" s="40" t="str">
        <x:v>✓</x:v>
      </x:c>
      <x:c r="AS21" s="40" t="str">
        <x:v>✓</x:v>
      </x:c>
      <x:c r="AT21" s="40" t="str">
        <x:v>✓</x:v>
      </x:c>
      <x:c r="AU21" s="40" t="str">
        <x:v>✓</x:v>
      </x:c>
      <x:c r="AV21" s="40" t="str">
        <x:v>✓</x:v>
      </x:c>
      <x:c r="AW21" s="40" t="str">
        <x:v>✓</x:v>
      </x:c>
      <x:c r="AX21" s="40" t="str">
        <x:v>✓</x:v>
      </x:c>
      <x:c r="AY21" s="40" t="str">
        <x:v>✓</x:v>
      </x:c>
      <x:c r="AZ21" s="40" t="str">
        <x:v>✓</x:v>
      </x:c>
      <x:c r="BA21" s="40" t="str">
        <x:v>✓</x:v>
      </x:c>
      <x:c r="BB21" s="41" t="str">
        <x:v>✓</x:v>
      </x:c>
    </x:row>
    <x:row r="22">
      <x:c r="A22" s="37" t="str">
        <x:v>cnrm_esm2_1</x:v>
      </x:c>
      <x:c r="B22" s="38" t="n">
        <x:f>COUNTIF(D22:BB22,"&lt;&gt;×")</x:f>
        <x:v>41</x:v>
      </x:c>
      <x:c r="C22" s="39" t="n">
        <x:f>B22/51</x:f>
        <x:v>0.803921568627451</x:v>
      </x:c>
      <x:c r="D22" s="40" t="str">
        <x:v>✓</x:v>
      </x:c>
      <x:c r="E22" s="40" t="str">
        <x:v>×</x:v>
      </x:c>
      <x:c r="F22" s="40" t="str">
        <x:v>✓</x:v>
      </x:c>
      <x:c r="G22" s="40" t="str">
        <x:v>✓</x:v>
      </x:c>
      <x:c r="H22" s="40" t="str">
        <x:v>✓</x:v>
      </x:c>
      <x:c r="I22" s="40" t="str">
        <x:v>✓</x:v>
      </x:c>
      <x:c r="J22" s="40" t="str">
        <x:v>✓</x:v>
      </x:c>
      <x:c r="K22" s="40" t="str">
        <x:v>✓</x:v>
      </x:c>
      <x:c r="L22" s="40" t="str">
        <x:v>×</x:v>
      </x:c>
      <x:c r="M22" s="40" t="str">
        <x:v>✓</x:v>
      </x:c>
      <x:c r="N22" s="40" t="str">
        <x:v>×</x:v>
      </x:c>
      <x:c r="O22" s="40" t="str">
        <x:v>✓</x:v>
      </x:c>
      <x:c r="P22" s="40" t="str">
        <x:v>✓</x:v>
      </x:c>
      <x:c r="Q22" s="40" t="str">
        <x:v>✓</x:v>
      </x:c>
      <x:c r="R22" s="40" t="str">
        <x:v>✓</x:v>
      </x:c>
      <x:c r="S22" s="40" t="str">
        <x:v>✓</x:v>
      </x:c>
      <x:c r="T22" s="40" t="str">
        <x:v>✓</x:v>
      </x:c>
      <x:c r="U22" s="40" t="str">
        <x:v>✓</x:v>
      </x:c>
      <x:c r="V22" s="40" t="str">
        <x:v>×</x:v>
      </x:c>
      <x:c r="W22" s="40" t="str">
        <x:v>✓</x:v>
      </x:c>
      <x:c r="X22" s="40" t="str">
        <x:v>✓</x:v>
      </x:c>
      <x:c r="Y22" s="40" t="str">
        <x:v>×</x:v>
      </x:c>
      <x:c r="Z22" s="40" t="str">
        <x:v>×</x:v>
      </x:c>
      <x:c r="AA22" s="40" t="str">
        <x:v>✓</x:v>
      </x:c>
      <x:c r="AB22" s="40" t="str">
        <x:v>×</x:v>
      </x:c>
      <x:c r="AC22" s="40" t="str">
        <x:v>✓</x:v>
      </x:c>
      <x:c r="AD22" s="40" t="str">
        <x:v>✓</x:v>
      </x:c>
      <x:c r="AE22" s="40" t="str">
        <x:v>✓</x:v>
      </x:c>
      <x:c r="AF22" s="40" t="str">
        <x:v>✓</x:v>
      </x:c>
      <x:c r="AG22" s="40" t="str">
        <x:v>✓</x:v>
      </x:c>
      <x:c r="AH22" s="40" t="str">
        <x:v>×</x:v>
      </x:c>
      <x:c r="AI22" s="40" t="str">
        <x:v>✓</x:v>
      </x:c>
      <x:c r="AJ22" s="40" t="str">
        <x:v>✓</x:v>
      </x:c>
      <x:c r="AK22" s="40" t="str">
        <x:v>✓</x:v>
      </x:c>
      <x:c r="AL22" s="40" t="str">
        <x:v>×</x:v>
      </x:c>
      <x:c r="AM22" s="40" t="str">
        <x:v>✓</x:v>
      </x:c>
      <x:c r="AN22" s="40" t="str">
        <x:v>✓</x:v>
      </x:c>
      <x:c r="AO22" s="40" t="str">
        <x:v>✓</x:v>
      </x:c>
      <x:c r="AP22" s="40" t="str">
        <x:v>✓</x:v>
      </x:c>
      <x:c r="AQ22" s="40" t="str">
        <x:v>×</x:v>
      </x:c>
      <x:c r="AR22" s="40" t="str">
        <x:v>✓</x:v>
      </x:c>
      <x:c r="AS22" s="40" t="str">
        <x:v>✓</x:v>
      </x:c>
      <x:c r="AT22" s="40" t="str">
        <x:v>✓</x:v>
      </x:c>
      <x:c r="AU22" s="40" t="str">
        <x:v>✓</x:v>
      </x:c>
      <x:c r="AV22" s="40" t="str">
        <x:v>✓</x:v>
      </x:c>
      <x:c r="AW22" s="40" t="str">
        <x:v>✓</x:v>
      </x:c>
      <x:c r="AX22" s="40" t="str">
        <x:v>✓</x:v>
      </x:c>
      <x:c r="AY22" s="40" t="str">
        <x:v>✓</x:v>
      </x:c>
      <x:c r="AZ22" s="40" t="str">
        <x:v>✓</x:v>
      </x:c>
      <x:c r="BA22" s="40" t="str">
        <x:v>✓</x:v>
      </x:c>
      <x:c r="BB22" s="41" t="str">
        <x:v>✓</x:v>
      </x:c>
    </x:row>
    <x:row r="23">
      <x:c r="A23" s="37" t="str">
        <x:v>e3sm_1_0</x:v>
      </x:c>
      <x:c r="B23" s="38" t="n">
        <x:f>COUNTIF(D23:BB23,"&lt;&gt;×")</x:f>
        <x:v>32</x:v>
      </x:c>
      <x:c r="C23" s="39" t="n">
        <x:f>B23/51</x:f>
        <x:v>0.6274509803921569</x:v>
      </x:c>
      <x:c r="D23" s="40" t="str">
        <x:v>×</x:v>
      </x:c>
      <x:c r="E23" s="40" t="str">
        <x:v>×</x:v>
      </x:c>
      <x:c r="F23" s="40" t="str">
        <x:v>×</x:v>
      </x:c>
      <x:c r="G23" s="40" t="str">
        <x:v>×</x:v>
      </x:c>
      <x:c r="H23" s="40" t="str">
        <x:v>×</x:v>
      </x:c>
      <x:c r="I23" s="40" t="str">
        <x:v>✓</x:v>
      </x:c>
      <x:c r="J23" s="40" t="str">
        <x:v>✓</x:v>
      </x:c>
      <x:c r="K23" s="40" t="str">
        <x:v>✓</x:v>
      </x:c>
      <x:c r="L23" s="40" t="str">
        <x:v>✓</x:v>
      </x:c>
      <x:c r="M23" s="40" t="str">
        <x:v>✓</x:v>
      </x:c>
      <x:c r="N23" s="40" t="str">
        <x:v>×</x:v>
      </x:c>
      <x:c r="O23" s="40" t="str">
        <x:v>✓</x:v>
      </x:c>
      <x:c r="P23" s="40" t="str">
        <x:v>✓</x:v>
      </x:c>
      <x:c r="Q23" s="40" t="str">
        <x:v>×</x:v>
      </x:c>
      <x:c r="R23" s="40" t="str">
        <x:v>✓</x:v>
      </x:c>
      <x:c r="S23" s="40" t="str">
        <x:v>✓</x:v>
      </x:c>
      <x:c r="T23" s="40" t="str">
        <x:v>×</x:v>
      </x:c>
      <x:c r="U23" s="40" t="str">
        <x:v>✓</x:v>
      </x:c>
      <x:c r="V23" s="40" t="str">
        <x:v>×</x:v>
      </x:c>
      <x:c r="W23" s="40" t="str">
        <x:v>✓</x:v>
      </x:c>
      <x:c r="X23" s="40" t="str">
        <x:v>✓</x:v>
      </x:c>
      <x:c r="Y23" s="40" t="str">
        <x:v>×</x:v>
      </x:c>
      <x:c r="Z23" s="40" t="str">
        <x:v>×</x:v>
      </x:c>
      <x:c r="AA23" s="40" t="str">
        <x:v>✓</x:v>
      </x:c>
      <x:c r="AB23" s="40" t="str">
        <x:v>✓</x:v>
      </x:c>
      <x:c r="AC23" s="40" t="str">
        <x:v>✓</x:v>
      </x:c>
      <x:c r="AD23" s="40" t="str">
        <x:v>✓</x:v>
      </x:c>
      <x:c r="AE23" s="40" t="str">
        <x:v>✓</x:v>
      </x:c>
      <x:c r="AF23" s="40" t="str">
        <x:v>✓</x:v>
      </x:c>
      <x:c r="AG23" s="40" t="str">
        <x:v>✓</x:v>
      </x:c>
      <x:c r="AH23" s="40" t="str">
        <x:v>×</x:v>
      </x:c>
      <x:c r="AI23" s="40" t="str">
        <x:v>✓</x:v>
      </x:c>
      <x:c r="AJ23" s="40" t="str">
        <x:v>✓</x:v>
      </x:c>
      <x:c r="AK23" s="40" t="str">
        <x:v>✓</x:v>
      </x:c>
      <x:c r="AL23" s="40" t="str">
        <x:v>✓</x:v>
      </x:c>
      <x:c r="AM23" s="40" t="str">
        <x:v>×</x:v>
      </x:c>
      <x:c r="AN23" s="40" t="str">
        <x:v>✓</x:v>
      </x:c>
      <x:c r="AO23" s="40" t="str">
        <x:v>×</x:v>
      </x:c>
      <x:c r="AP23" s="40" t="str">
        <x:v>✓</x:v>
      </x:c>
      <x:c r="AQ23" s="40" t="str">
        <x:v>×</x:v>
      </x:c>
      <x:c r="AR23" s="40" t="str">
        <x:v>×</x:v>
      </x:c>
      <x:c r="AS23" s="40" t="str">
        <x:v>✓</x:v>
      </x:c>
      <x:c r="AT23" s="40" t="str">
        <x:v>✓</x:v>
      </x:c>
      <x:c r="AU23" s="40" t="str">
        <x:v>✓</x:v>
      </x:c>
      <x:c r="AV23" s="40" t="str">
        <x:v>✓</x:v>
      </x:c>
      <x:c r="AW23" s="40" t="str">
        <x:v>×</x:v>
      </x:c>
      <x:c r="AX23" s="40" t="str">
        <x:v>×</x:v>
      </x:c>
      <x:c r="AY23" s="40" t="str">
        <x:v>✓</x:v>
      </x:c>
      <x:c r="AZ23" s="40" t="str">
        <x:v>×</x:v>
      </x:c>
      <x:c r="BA23" s="40" t="str">
        <x:v>✓</x:v>
      </x:c>
      <x:c r="BB23" s="41" t="str">
        <x:v>✓</x:v>
      </x:c>
    </x:row>
    <x:row r="24">
      <x:c r="A24" s="37" t="str">
        <x:v>e3sm_1_1</x:v>
      </x:c>
      <x:c r="B24" s="38" t="n">
        <x:f>COUNTIF(D24:BB24,"&lt;&gt;×")</x:f>
        <x:v>31</x:v>
      </x:c>
      <x:c r="C24" s="39" t="n">
        <x:f>B24/51</x:f>
        <x:v>0.6078431372549019</x:v>
      </x:c>
      <x:c r="D24" s="40" t="str">
        <x:v>×</x:v>
      </x:c>
      <x:c r="E24" s="40" t="str">
        <x:v>×</x:v>
      </x:c>
      <x:c r="F24" s="40" t="str">
        <x:v>×</x:v>
      </x:c>
      <x:c r="G24" s="40" t="str">
        <x:v>×</x:v>
      </x:c>
      <x:c r="H24" s="40" t="str">
        <x:v>×</x:v>
      </x:c>
      <x:c r="I24" s="40" t="str">
        <x:v>×</x:v>
      </x:c>
      <x:c r="J24" s="40" t="str">
        <x:v>✓</x:v>
      </x:c>
      <x:c r="K24" s="40" t="str">
        <x:v>×</x:v>
      </x:c>
      <x:c r="L24" s="40" t="str">
        <x:v>✓</x:v>
      </x:c>
      <x:c r="M24" s="40" t="str">
        <x:v>×</x:v>
      </x:c>
      <x:c r="N24" s="40" t="str">
        <x:v>×</x:v>
      </x:c>
      <x:c r="O24" s="40" t="str">
        <x:v>✓</x:v>
      </x:c>
      <x:c r="P24" s="40" t="str">
        <x:v>✓</x:v>
      </x:c>
      <x:c r="Q24" s="40" t="str">
        <x:v>×</x:v>
      </x:c>
      <x:c r="R24" s="40" t="str">
        <x:v>✓</x:v>
      </x:c>
      <x:c r="S24" s="40" t="str">
        <x:v>✓</x:v>
      </x:c>
      <x:c r="T24" s="40" t="str">
        <x:v>×</x:v>
      </x:c>
      <x:c r="U24" s="40" t="str">
        <x:v>×</x:v>
      </x:c>
      <x:c r="V24" s="40" t="str">
        <x:v>×</x:v>
      </x:c>
      <x:c r="W24" s="40" t="str">
        <x:v>✓</x:v>
      </x:c>
      <x:c r="X24" s="40" t="str">
        <x:v>×</x:v>
      </x:c>
      <x:c r="Y24" s="40" t="str">
        <x:v>×</x:v>
      </x:c>
      <x:c r="Z24" s="40" t="str">
        <x:v>×</x:v>
      </x:c>
      <x:c r="AA24" s="40" t="str">
        <x:v>✓</x:v>
      </x:c>
      <x:c r="AB24" s="40" t="str">
        <x:v>✓</x:v>
      </x:c>
      <x:c r="AC24" s="40" t="str">
        <x:v>✓</x:v>
      </x:c>
      <x:c r="AD24" s="40" t="str">
        <x:v>✓</x:v>
      </x:c>
      <x:c r="AE24" s="40" t="str">
        <x:v>✓</x:v>
      </x:c>
      <x:c r="AF24" s="40" t="str">
        <x:v>✓</x:v>
      </x:c>
      <x:c r="AG24" s="40" t="str">
        <x:v>✓</x:v>
      </x:c>
      <x:c r="AH24" s="40" t="str">
        <x:v>×</x:v>
      </x:c>
      <x:c r="AI24" s="40" t="str">
        <x:v>✓</x:v>
      </x:c>
      <x:c r="AJ24" s="40" t="str">
        <x:v>×</x:v>
      </x:c>
      <x:c r="AK24" s="40" t="str">
        <x:v>✓</x:v>
      </x:c>
      <x:c r="AL24" s="40" t="str">
        <x:v>✓</x:v>
      </x:c>
      <x:c r="AM24" s="40" t="str">
        <x:v>✓</x:v>
      </x:c>
      <x:c r="AN24" s="40" t="str">
        <x:v>✓</x:v>
      </x:c>
      <x:c r="AO24" s="40" t="str">
        <x:v>✓</x:v>
      </x:c>
      <x:c r="AP24" s="40" t="str">
        <x:v>✓</x:v>
      </x:c>
      <x:c r="AQ24" s="40" t="str">
        <x:v>×</x:v>
      </x:c>
      <x:c r="AR24" s="40" t="str">
        <x:v>✓</x:v>
      </x:c>
      <x:c r="AS24" s="40" t="str">
        <x:v>✓</x:v>
      </x:c>
      <x:c r="AT24" s="40" t="str">
        <x:v>✓</x:v>
      </x:c>
      <x:c r="AU24" s="40" t="str">
        <x:v>✓</x:v>
      </x:c>
      <x:c r="AV24" s="40" t="str">
        <x:v>✓</x:v>
      </x:c>
      <x:c r="AW24" s="40" t="str">
        <x:v>✓</x:v>
      </x:c>
      <x:c r="AX24" s="40" t="str">
        <x:v>✓</x:v>
      </x:c>
      <x:c r="AY24" s="40" t="str">
        <x:v>✓</x:v>
      </x:c>
      <x:c r="AZ24" s="40" t="str">
        <x:v>✓</x:v>
      </x:c>
      <x:c r="BA24" s="40" t="str">
        <x:v>✓</x:v>
      </x:c>
      <x:c r="BB24" s="41" t="str">
        <x:v>×</x:v>
      </x:c>
    </x:row>
    <x:row r="25">
      <x:c r="A25" s="37" t="str">
        <x:v>e3sm_1_1_eca</x:v>
      </x:c>
      <x:c r="B25" s="38" t="n">
        <x:f>COUNTIF(D25:BB25,"&lt;&gt;×")</x:f>
        <x:v>36</x:v>
      </x:c>
      <x:c r="C25" s="39" t="n">
        <x:f>B25/51</x:f>
        <x:v>0.7058823529411765</x:v>
      </x:c>
      <x:c r="D25" s="40" t="str">
        <x:v>×</x:v>
      </x:c>
      <x:c r="E25" s="40" t="str">
        <x:v>×</x:v>
      </x:c>
      <x:c r="F25" s="40" t="str">
        <x:v>×</x:v>
      </x:c>
      <x:c r="G25" s="40" t="str">
        <x:v>×</x:v>
      </x:c>
      <x:c r="H25" s="40" t="str">
        <x:v>×</x:v>
      </x:c>
      <x:c r="I25" s="40" t="str">
        <x:v>✓</x:v>
      </x:c>
      <x:c r="J25" s="40" t="str">
        <x:v>✓</x:v>
      </x:c>
      <x:c r="K25" s="40" t="str">
        <x:v>✓</x:v>
      </x:c>
      <x:c r="L25" s="40" t="str">
        <x:v>✓</x:v>
      </x:c>
      <x:c r="M25" s="40" t="str">
        <x:v>×</x:v>
      </x:c>
      <x:c r="N25" s="40" t="str">
        <x:v>×</x:v>
      </x:c>
      <x:c r="O25" s="40" t="str">
        <x:v>✓</x:v>
      </x:c>
      <x:c r="P25" s="40" t="str">
        <x:v>✓</x:v>
      </x:c>
      <x:c r="Q25" s="40" t="str">
        <x:v>×</x:v>
      </x:c>
      <x:c r="R25" s="40" t="str">
        <x:v>✓</x:v>
      </x:c>
      <x:c r="S25" s="40" t="str">
        <x:v>✓</x:v>
      </x:c>
      <x:c r="T25" s="40" t="str">
        <x:v>×</x:v>
      </x:c>
      <x:c r="U25" s="40" t="str">
        <x:v>✓</x:v>
      </x:c>
      <x:c r="V25" s="40" t="str">
        <x:v>×</x:v>
      </x:c>
      <x:c r="W25" s="40" t="str">
        <x:v>✓</x:v>
      </x:c>
      <x:c r="X25" s="40" t="str">
        <x:v>✓</x:v>
      </x:c>
      <x:c r="Y25" s="40" t="str">
        <x:v>×</x:v>
      </x:c>
      <x:c r="Z25" s="40" t="str">
        <x:v>×</x:v>
      </x:c>
      <x:c r="AA25" s="40" t="str">
        <x:v>✓</x:v>
      </x:c>
      <x:c r="AB25" s="40" t="str">
        <x:v>✓</x:v>
      </x:c>
      <x:c r="AC25" s="40" t="str">
        <x:v>✓</x:v>
      </x:c>
      <x:c r="AD25" s="40" t="str">
        <x:v>✓</x:v>
      </x:c>
      <x:c r="AE25" s="40" t="str">
        <x:v>✓</x:v>
      </x:c>
      <x:c r="AF25" s="40" t="str">
        <x:v>✓</x:v>
      </x:c>
      <x:c r="AG25" s="40" t="str">
        <x:v>✓</x:v>
      </x:c>
      <x:c r="AH25" s="40" t="str">
        <x:v>×</x:v>
      </x:c>
      <x:c r="AI25" s="40" t="str">
        <x:v>✓</x:v>
      </x:c>
      <x:c r="AJ25" s="40" t="str">
        <x:v>✓</x:v>
      </x:c>
      <x:c r="AK25" s="40" t="str">
        <x:v>✓</x:v>
      </x:c>
      <x:c r="AL25" s="40" t="str">
        <x:v>✓</x:v>
      </x:c>
      <x:c r="AM25" s="40" t="str">
        <x:v>✓</x:v>
      </x:c>
      <x:c r="AN25" s="40" t="str">
        <x:v>✓</x:v>
      </x:c>
      <x:c r="AO25" s="40" t="str">
        <x:v>✓</x:v>
      </x:c>
      <x:c r="AP25" s="40" t="str">
        <x:v>✓</x:v>
      </x:c>
      <x:c r="AQ25" s="40" t="str">
        <x:v>×</x:v>
      </x:c>
      <x:c r="AR25" s="40" t="str">
        <x:v>✓</x:v>
      </x:c>
      <x:c r="AS25" s="40" t="str">
        <x:v>✓</x:v>
      </x:c>
      <x:c r="AT25" s="40" t="str">
        <x:v>✓</x:v>
      </x:c>
      <x:c r="AU25" s="40" t="str">
        <x:v>✓</x:v>
      </x:c>
      <x:c r="AV25" s="40" t="str">
        <x:v>✓</x:v>
      </x:c>
      <x:c r="AW25" s="40" t="str">
        <x:v>✓</x:v>
      </x:c>
      <x:c r="AX25" s="40" t="str">
        <x:v>✓</x:v>
      </x:c>
      <x:c r="AY25" s="40" t="str">
        <x:v>✓</x:v>
      </x:c>
      <x:c r="AZ25" s="40" t="str">
        <x:v>✓</x:v>
      </x:c>
      <x:c r="BA25" s="40" t="str">
        <x:v>✓</x:v>
      </x:c>
      <x:c r="BB25" s="41" t="str">
        <x:v>×</x:v>
      </x:c>
    </x:row>
    <x:row r="26">
      <x:c r="A26" s="37" t="str">
        <x:v>ec_earth3</x:v>
      </x:c>
      <x:c r="B26" s="38" t="n">
        <x:f>COUNTIF(D26:BB26,"&lt;&gt;×")</x:f>
        <x:v>1</x:v>
      </x:c>
      <x:c r="C26" s="39" t="n">
        <x:f>B26/51</x:f>
        <x:v>0.0196078431372549</x:v>
      </x:c>
      <x:c r="D26" s="40" t="str">
        <x:v>×</x:v>
      </x:c>
      <x:c r="E26" s="40" t="str">
        <x:v>×</x:v>
      </x:c>
      <x:c r="F26" s="40" t="str">
        <x:v>×</x:v>
      </x:c>
      <x:c r="G26" s="40" t="str">
        <x:v>×</x:v>
      </x:c>
      <x:c r="H26" s="40" t="str">
        <x:v>×</x:v>
      </x:c>
      <x:c r="I26" s="40" t="str">
        <x:v>×</x:v>
      </x:c>
      <x:c r="J26" s="40" t="str">
        <x:v>×</x:v>
      </x:c>
      <x:c r="K26" s="40" t="str">
        <x:v>×</x:v>
      </x:c>
      <x:c r="L26" s="40" t="str">
        <x:v>×</x:v>
      </x:c>
      <x:c r="M26" s="40" t="str">
        <x:v>×</x:v>
      </x:c>
      <x:c r="N26" s="40" t="str">
        <x:v>×</x:v>
      </x:c>
      <x:c r="O26" s="40" t="str">
        <x:v>×</x:v>
      </x:c>
      <x:c r="P26" s="40" t="str">
        <x:v>×</x:v>
      </x:c>
      <x:c r="Q26" s="40" t="str">
        <x:v>×</x:v>
      </x:c>
      <x:c r="R26" s="40" t="str">
        <x:v>×</x:v>
      </x:c>
      <x:c r="S26" s="40" t="str">
        <x:v>×</x:v>
      </x:c>
      <x:c r="T26" s="40" t="str">
        <x:v>×</x:v>
      </x:c>
      <x:c r="U26" s="40" t="str">
        <x:v>×</x:v>
      </x:c>
      <x:c r="V26" s="40" t="str">
        <x:v>×</x:v>
      </x:c>
      <x:c r="W26" s="40" t="str">
        <x:v>×</x:v>
      </x:c>
      <x:c r="X26" s="40" t="str">
        <x:v>×</x:v>
      </x:c>
      <x:c r="Y26" s="40" t="str">
        <x:v>×</x:v>
      </x:c>
      <x:c r="Z26" s="40" t="str">
        <x:v>✓</x:v>
      </x:c>
      <x:c r="AA26" s="40" t="str">
        <x:v>×</x:v>
      </x:c>
      <x:c r="AB26" s="40" t="str">
        <x:v>×</x:v>
      </x:c>
      <x:c r="AC26" s="40" t="str">
        <x:v>×</x:v>
      </x:c>
      <x:c r="AD26" s="40" t="str">
        <x:v>×</x:v>
      </x:c>
      <x:c r="AE26" s="40" t="str">
        <x:v>×</x:v>
      </x:c>
      <x:c r="AF26" s="40" t="str">
        <x:v>×</x:v>
      </x:c>
      <x:c r="AG26" s="40" t="str">
        <x:v>×</x:v>
      </x:c>
      <x:c r="AH26" s="40" t="str">
        <x:v>×</x:v>
      </x:c>
      <x:c r="AI26" s="40" t="str">
        <x:v>×</x:v>
      </x:c>
      <x:c r="AJ26" s="40" t="str">
        <x:v>×</x:v>
      </x:c>
      <x:c r="AK26" s="40" t="str">
        <x:v>×</x:v>
      </x:c>
      <x:c r="AL26" s="40" t="str">
        <x:v>×</x:v>
      </x:c>
      <x:c r="AM26" s="40" t="str">
        <x:v>×</x:v>
      </x:c>
      <x:c r="AN26" s="40" t="str">
        <x:v>×</x:v>
      </x:c>
      <x:c r="AO26" s="40" t="str">
        <x:v>×</x:v>
      </x:c>
      <x:c r="AP26" s="40" t="str">
        <x:v>×</x:v>
      </x:c>
      <x:c r="AQ26" s="40" t="str">
        <x:v>×</x:v>
      </x:c>
      <x:c r="AR26" s="40" t="str">
        <x:v>×</x:v>
      </x:c>
      <x:c r="AS26" s="40" t="str">
        <x:v>×</x:v>
      </x:c>
      <x:c r="AT26" s="40" t="str">
        <x:v>×</x:v>
      </x:c>
      <x:c r="AU26" s="40" t="str">
        <x:v>×</x:v>
      </x:c>
      <x:c r="AV26" s="40" t="str">
        <x:v>×</x:v>
      </x:c>
      <x:c r="AW26" s="40" t="str">
        <x:v>×</x:v>
      </x:c>
      <x:c r="AX26" s="40" t="str">
        <x:v>×</x:v>
      </x:c>
      <x:c r="AY26" s="40" t="str">
        <x:v>×</x:v>
      </x:c>
      <x:c r="AZ26" s="40" t="str">
        <x:v>×</x:v>
      </x:c>
      <x:c r="BA26" s="40" t="str">
        <x:v>×</x:v>
      </x:c>
      <x:c r="BB26" s="41" t="str">
        <x:v>×</x:v>
      </x:c>
    </x:row>
    <x:row r="27">
      <x:c r="A27" s="37" t="str">
        <x:v>ec_earth3_aerchem</x:v>
      </x:c>
      <x:c r="B27" s="38" t="n">
        <x:f>COUNTIF(D27:BB27,"&lt;&gt;×")</x:f>
        <x:v>47</x:v>
      </x:c>
      <x:c r="C27" s="39" t="n">
        <x:f>B27/51</x:f>
        <x:v>0.9215686274509803</x:v>
      </x:c>
      <x:c r="D27" s="40" t="str">
        <x:v>✓</x:v>
      </x:c>
      <x:c r="E27" s="40" t="str">
        <x:v>×</x:v>
      </x:c>
      <x:c r="F27" s="40" t="str">
        <x:v>✓</x:v>
      </x:c>
      <x:c r="G27" s="40" t="str">
        <x:v>✓</x:v>
      </x:c>
      <x:c r="H27" s="40" t="str">
        <x:v>✓</x:v>
      </x:c>
      <x:c r="I27" s="40" t="str">
        <x:v>✓</x:v>
      </x:c>
      <x:c r="J27" s="40" t="str">
        <x:v>✓</x:v>
      </x:c>
      <x:c r="K27" s="40" t="str">
        <x:v>✓</x:v>
      </x:c>
      <x:c r="L27" s="40" t="str">
        <x:v>✓</x:v>
      </x:c>
      <x:c r="M27" s="40" t="str">
        <x:v>✓</x:v>
      </x:c>
      <x:c r="N27" s="40" t="str">
        <x:v>×</x:v>
      </x:c>
      <x:c r="O27" s="40" t="str">
        <x:v>✓</x:v>
      </x:c>
      <x:c r="P27" s="40" t="str">
        <x:v>✓</x:v>
      </x:c>
      <x:c r="Q27" s="40" t="str">
        <x:v>✓</x:v>
      </x:c>
      <x:c r="R27" s="40" t="str">
        <x:v>✓</x:v>
      </x:c>
      <x:c r="S27" s="40" t="str">
        <x:v>✓</x:v>
      </x:c>
      <x:c r="T27" s="40" t="str">
        <x:v>✓</x:v>
      </x:c>
      <x:c r="U27" s="40" t="str">
        <x:v>✓</x:v>
      </x:c>
      <x:c r="V27" s="40" t="str">
        <x:v>✓</x:v>
      </x:c>
      <x:c r="W27" s="40" t="str">
        <x:v>✓</x:v>
      </x:c>
      <x:c r="X27" s="40" t="str">
        <x:v>✓</x:v>
      </x:c>
      <x:c r="Y27" s="40" t="str">
        <x:v>✓</x:v>
      </x:c>
      <x:c r="Z27" s="40" t="str">
        <x:v>✓</x:v>
      </x:c>
      <x:c r="AA27" s="40" t="str">
        <x:v>✓</x:v>
      </x:c>
      <x:c r="AB27" s="40" t="str">
        <x:v>✓</x:v>
      </x:c>
      <x:c r="AC27" s="40" t="str">
        <x:v>✓</x:v>
      </x:c>
      <x:c r="AD27" s="40" t="str">
        <x:v>✓</x:v>
      </x:c>
      <x:c r="AE27" s="40" t="str">
        <x:v>✓</x:v>
      </x:c>
      <x:c r="AF27" s="40" t="str">
        <x:v>✓</x:v>
      </x:c>
      <x:c r="AG27" s="40" t="str">
        <x:v>✓</x:v>
      </x:c>
      <x:c r="AH27" s="40" t="str">
        <x:v>✓</x:v>
      </x:c>
      <x:c r="AI27" s="40" t="str">
        <x:v>✓</x:v>
      </x:c>
      <x:c r="AJ27" s="40" t="str">
        <x:v>✓</x:v>
      </x:c>
      <x:c r="AK27" s="40" t="str">
        <x:v>✓</x:v>
      </x:c>
      <x:c r="AL27" s="40" t="str">
        <x:v>×</x:v>
      </x:c>
      <x:c r="AM27" s="40" t="str">
        <x:v>✓</x:v>
      </x:c>
      <x:c r="AN27" s="40" t="str">
        <x:v>✓</x:v>
      </x:c>
      <x:c r="AO27" s="40" t="str">
        <x:v>✓</x:v>
      </x:c>
      <x:c r="AP27" s="40" t="str">
        <x:v>✓</x:v>
      </x:c>
      <x:c r="AQ27" s="40" t="str">
        <x:v>✓</x:v>
      </x:c>
      <x:c r="AR27" s="40" t="str">
        <x:v>✓</x:v>
      </x:c>
      <x:c r="AS27" s="40" t="str">
        <x:v>✓</x:v>
      </x:c>
      <x:c r="AT27" s="40" t="str">
        <x:v>✓</x:v>
      </x:c>
      <x:c r="AU27" s="40" t="str">
        <x:v>✓</x:v>
      </x:c>
      <x:c r="AV27" s="40" t="str">
        <x:v>✓</x:v>
      </x:c>
      <x:c r="AW27" s="40" t="str">
        <x:v>×</x:v>
      </x:c>
      <x:c r="AX27" s="40" t="str">
        <x:v>✓</x:v>
      </x:c>
      <x:c r="AY27" s="40" t="str">
        <x:v>✓</x:v>
      </x:c>
      <x:c r="AZ27" s="40" t="str">
        <x:v>✓</x:v>
      </x:c>
      <x:c r="BA27" s="40" t="str">
        <x:v>✓</x:v>
      </x:c>
      <x:c r="BB27" s="41" t="str">
        <x:v>✓</x:v>
      </x:c>
    </x:row>
    <x:row r="28">
      <x:c r="A28" s="37" t="str">
        <x:v>ec_earth3_cc</x:v>
      </x:c>
      <x:c r="B28" s="38" t="n">
        <x:f>COUNTIF(D28:BB28,"&lt;&gt;×")</x:f>
        <x:v>44</x:v>
      </x:c>
      <x:c r="C28" s="39" t="n">
        <x:f>B28/51</x:f>
        <x:v>0.8627450980392157</x:v>
      </x:c>
      <x:c r="D28" s="40" t="str">
        <x:v>✓</x:v>
      </x:c>
      <x:c r="E28" s="40" t="str">
        <x:v>×</x:v>
      </x:c>
      <x:c r="F28" s="40" t="str">
        <x:v>✓</x:v>
      </x:c>
      <x:c r="G28" s="40" t="str">
        <x:v>✓</x:v>
      </x:c>
      <x:c r="H28" s="40" t="str">
        <x:v>✓</x:v>
      </x:c>
      <x:c r="I28" s="40" t="str">
        <x:v>✓</x:v>
      </x:c>
      <x:c r="J28" s="40" t="str">
        <x:v>✓</x:v>
      </x:c>
      <x:c r="K28" s="40" t="str">
        <x:v>✓</x:v>
      </x:c>
      <x:c r="L28" s="40" t="str">
        <x:v>✓</x:v>
      </x:c>
      <x:c r="M28" s="40" t="str">
        <x:v>✓</x:v>
      </x:c>
      <x:c r="N28" s="40" t="str">
        <x:v>×</x:v>
      </x:c>
      <x:c r="O28" s="40" t="str">
        <x:v>✓</x:v>
      </x:c>
      <x:c r="P28" s="40" t="str">
        <x:v>✓</x:v>
      </x:c>
      <x:c r="Q28" s="40" t="str">
        <x:v>✓</x:v>
      </x:c>
      <x:c r="R28" s="40" t="str">
        <x:v>✓</x:v>
      </x:c>
      <x:c r="S28" s="40" t="str">
        <x:v>✓</x:v>
      </x:c>
      <x:c r="T28" s="40" t="str">
        <x:v>✓</x:v>
      </x:c>
      <x:c r="U28" s="40" t="str">
        <x:v>✓</x:v>
      </x:c>
      <x:c r="V28" s="40" t="str">
        <x:v>×</x:v>
      </x:c>
      <x:c r="W28" s="40" t="str">
        <x:v>✓</x:v>
      </x:c>
      <x:c r="X28" s="40" t="str">
        <x:v>✓</x:v>
      </x:c>
      <x:c r="Y28" s="40" t="str">
        <x:v>✓</x:v>
      </x:c>
      <x:c r="Z28" s="40" t="str">
        <x:v>✓</x:v>
      </x:c>
      <x:c r="AA28" s="40" t="str">
        <x:v>✓</x:v>
      </x:c>
      <x:c r="AB28" s="40" t="str">
        <x:v>✓</x:v>
      </x:c>
      <x:c r="AC28" s="40" t="str">
        <x:v>✓</x:v>
      </x:c>
      <x:c r="AD28" s="40" t="str">
        <x:v>✓</x:v>
      </x:c>
      <x:c r="AE28" s="40" t="str">
        <x:v>✓</x:v>
      </x:c>
      <x:c r="AF28" s="40" t="str">
        <x:v>✓</x:v>
      </x:c>
      <x:c r="AG28" s="40" t="str">
        <x:v>✓</x:v>
      </x:c>
      <x:c r="AH28" s="40" t="str">
        <x:v>✓</x:v>
      </x:c>
      <x:c r="AI28" s="40" t="str">
        <x:v>✓</x:v>
      </x:c>
      <x:c r="AJ28" s="40" t="str">
        <x:v>✓</x:v>
      </x:c>
      <x:c r="AK28" s="40" t="str">
        <x:v>✓</x:v>
      </x:c>
      <x:c r="AL28" s="40" t="str">
        <x:v>×</x:v>
      </x:c>
      <x:c r="AM28" s="40" t="str">
        <x:v>✓</x:v>
      </x:c>
      <x:c r="AN28" s="40" t="str">
        <x:v>✓</x:v>
      </x:c>
      <x:c r="AO28" s="40" t="str">
        <x:v>×</x:v>
      </x:c>
      <x:c r="AP28" s="40" t="str">
        <x:v>✓</x:v>
      </x:c>
      <x:c r="AQ28" s="40" t="str">
        <x:v>✓</x:v>
      </x:c>
      <x:c r="AR28" s="40" t="str">
        <x:v>✓</x:v>
      </x:c>
      <x:c r="AS28" s="40" t="str">
        <x:v>✓</x:v>
      </x:c>
      <x:c r="AT28" s="40" t="str">
        <x:v>✓</x:v>
      </x:c>
      <x:c r="AU28" s="40" t="str">
        <x:v>×</x:v>
      </x:c>
      <x:c r="AV28" s="40" t="str">
        <x:v>✓</x:v>
      </x:c>
      <x:c r="AW28" s="40" t="str">
        <x:v>×</x:v>
      </x:c>
      <x:c r="AX28" s="40" t="str">
        <x:v>✓</x:v>
      </x:c>
      <x:c r="AY28" s="40" t="str">
        <x:v>✓</x:v>
      </x:c>
      <x:c r="AZ28" s="40" t="str">
        <x:v>✓</x:v>
      </x:c>
      <x:c r="BA28" s="40" t="str">
        <x:v>✓</x:v>
      </x:c>
      <x:c r="BB28" s="41" t="str">
        <x:v>✓</x:v>
      </x:c>
    </x:row>
    <x:row r="29">
      <x:c r="A29" s="37" t="str">
        <x:v>ec_earth3_veg</x:v>
      </x:c>
      <x:c r="B29" s="38" t="n">
        <x:f>COUNTIF(D29:BB29,"&lt;&gt;×")</x:f>
        <x:v>1</x:v>
      </x:c>
      <x:c r="C29" s="39" t="n">
        <x:f>B29/51</x:f>
        <x:v>0.0196078431372549</x:v>
      </x:c>
      <x:c r="D29" s="40" t="str">
        <x:v>×</x:v>
      </x:c>
      <x:c r="E29" s="40" t="str">
        <x:v>×</x:v>
      </x:c>
      <x:c r="F29" s="40" t="str">
        <x:v>×</x:v>
      </x:c>
      <x:c r="G29" s="40" t="str">
        <x:v>×</x:v>
      </x:c>
      <x:c r="H29" s="40" t="str">
        <x:v>×</x:v>
      </x:c>
      <x:c r="I29" s="40" t="str">
        <x:v>×</x:v>
      </x:c>
      <x:c r="J29" s="40" t="str">
        <x:v>×</x:v>
      </x:c>
      <x:c r="K29" s="40" t="str">
        <x:v>×</x:v>
      </x:c>
      <x:c r="L29" s="40" t="str">
        <x:v>×</x:v>
      </x:c>
      <x:c r="M29" s="40" t="str">
        <x:v>×</x:v>
      </x:c>
      <x:c r="N29" s="40" t="str">
        <x:v>×</x:v>
      </x:c>
      <x:c r="O29" s="40" t="str">
        <x:v>×</x:v>
      </x:c>
      <x:c r="P29" s="40" t="str">
        <x:v>×</x:v>
      </x:c>
      <x:c r="Q29" s="40" t="str">
        <x:v>×</x:v>
      </x:c>
      <x:c r="R29" s="40" t="str">
        <x:v>×</x:v>
      </x:c>
      <x:c r="S29" s="40" t="str">
        <x:v>×</x:v>
      </x:c>
      <x:c r="T29" s="40" t="str">
        <x:v>×</x:v>
      </x:c>
      <x:c r="U29" s="40" t="str">
        <x:v>×</x:v>
      </x:c>
      <x:c r="V29" s="40" t="str">
        <x:v>×</x:v>
      </x:c>
      <x:c r="W29" s="40" t="str">
        <x:v>×</x:v>
      </x:c>
      <x:c r="X29" s="40" t="str">
        <x:v>×</x:v>
      </x:c>
      <x:c r="Y29" s="40" t="str">
        <x:v>×</x:v>
      </x:c>
      <x:c r="Z29" s="40" t="str">
        <x:v>✓</x:v>
      </x:c>
      <x:c r="AA29" s="40" t="str">
        <x:v>×</x:v>
      </x:c>
      <x:c r="AB29" s="40" t="str">
        <x:v>×</x:v>
      </x:c>
      <x:c r="AC29" s="40" t="str">
        <x:v>×</x:v>
      </x:c>
      <x:c r="AD29" s="40" t="str">
        <x:v>×</x:v>
      </x:c>
      <x:c r="AE29" s="40" t="str">
        <x:v>×</x:v>
      </x:c>
      <x:c r="AF29" s="40" t="str">
        <x:v>×</x:v>
      </x:c>
      <x:c r="AG29" s="40" t="str">
        <x:v>×</x:v>
      </x:c>
      <x:c r="AH29" s="40" t="str">
        <x:v>×</x:v>
      </x:c>
      <x:c r="AI29" s="40" t="str">
        <x:v>×</x:v>
      </x:c>
      <x:c r="AJ29" s="40" t="str">
        <x:v>×</x:v>
      </x:c>
      <x:c r="AK29" s="40" t="str">
        <x:v>×</x:v>
      </x:c>
      <x:c r="AL29" s="40" t="str">
        <x:v>×</x:v>
      </x:c>
      <x:c r="AM29" s="40" t="str">
        <x:v>×</x:v>
      </x:c>
      <x:c r="AN29" s="40" t="str">
        <x:v>×</x:v>
      </x:c>
      <x:c r="AO29" s="40" t="str">
        <x:v>×</x:v>
      </x:c>
      <x:c r="AP29" s="40" t="str">
        <x:v>×</x:v>
      </x:c>
      <x:c r="AQ29" s="40" t="str">
        <x:v>×</x:v>
      </x:c>
      <x:c r="AR29" s="40" t="str">
        <x:v>×</x:v>
      </x:c>
      <x:c r="AS29" s="40" t="str">
        <x:v>×</x:v>
      </x:c>
      <x:c r="AT29" s="40" t="str">
        <x:v>×</x:v>
      </x:c>
      <x:c r="AU29" s="40" t="str">
        <x:v>×</x:v>
      </x:c>
      <x:c r="AV29" s="40" t="str">
        <x:v>×</x:v>
      </x:c>
      <x:c r="AW29" s="40" t="str">
        <x:v>×</x:v>
      </x:c>
      <x:c r="AX29" s="40" t="str">
        <x:v>×</x:v>
      </x:c>
      <x:c r="AY29" s="40" t="str">
        <x:v>×</x:v>
      </x:c>
      <x:c r="AZ29" s="40" t="str">
        <x:v>×</x:v>
      </x:c>
      <x:c r="BA29" s="40" t="str">
        <x:v>×</x:v>
      </x:c>
      <x:c r="BB29" s="41" t="str">
        <x:v>×</x:v>
      </x:c>
    </x:row>
    <x:row r="30">
      <x:c r="A30" s="37" t="str">
        <x:v>ec_earth3_veg_lr</x:v>
      </x:c>
      <x:c r="B30" s="38" t="n">
        <x:f>COUNTIF(D30:BB30,"&lt;&gt;×")</x:f>
        <x:v>42</x:v>
      </x:c>
      <x:c r="C30" s="39" t="n">
        <x:f>B30/51</x:f>
        <x:v>0.8235294117647058</x:v>
      </x:c>
      <x:c r="D30" s="40" t="str">
        <x:v>✓</x:v>
      </x:c>
      <x:c r="E30" s="40" t="str">
        <x:v>×</x:v>
      </x:c>
      <x:c r="F30" s="40" t="str">
        <x:v>✓</x:v>
      </x:c>
      <x:c r="G30" s="40" t="str">
        <x:v>✓</x:v>
      </x:c>
      <x:c r="H30" s="40" t="str">
        <x:v>×</x:v>
      </x:c>
      <x:c r="I30" s="40" t="str">
        <x:v>✓</x:v>
      </x:c>
      <x:c r="J30" s="40" t="str">
        <x:v>✓</x:v>
      </x:c>
      <x:c r="K30" s="40" t="str">
        <x:v>✓</x:v>
      </x:c>
      <x:c r="L30" s="40" t="str">
        <x:v>×</x:v>
      </x:c>
      <x:c r="M30" s="40" t="str">
        <x:v>✓</x:v>
      </x:c>
      <x:c r="N30" s="40" t="str">
        <x:v>×</x:v>
      </x:c>
      <x:c r="O30" s="40" t="str">
        <x:v>✓</x:v>
      </x:c>
      <x:c r="P30" s="40" t="str">
        <x:v>×</x:v>
      </x:c>
      <x:c r="Q30" s="40" t="str">
        <x:v>✓</x:v>
      </x:c>
      <x:c r="R30" s="40" t="str">
        <x:v>✓</x:v>
      </x:c>
      <x:c r="S30" s="40" t="str">
        <x:v>✓</x:v>
      </x:c>
      <x:c r="T30" s="40" t="str">
        <x:v>×</x:v>
      </x:c>
      <x:c r="U30" s="40" t="str">
        <x:v>✓</x:v>
      </x:c>
      <x:c r="V30" s="40" t="str">
        <x:v>✓</x:v>
      </x:c>
      <x:c r="W30" s="40" t="str">
        <x:v>✓</x:v>
      </x:c>
      <x:c r="X30" s="40" t="str">
        <x:v>✓</x:v>
      </x:c>
      <x:c r="Y30" s="40" t="str">
        <x:v>✓</x:v>
      </x:c>
      <x:c r="Z30" s="40" t="str">
        <x:v>✓</x:v>
      </x:c>
      <x:c r="AA30" s="40" t="str">
        <x:v>✓</x:v>
      </x:c>
      <x:c r="AB30" s="40" t="str">
        <x:v>✓</x:v>
      </x:c>
      <x:c r="AC30" s="40" t="str">
        <x:v>✓</x:v>
      </x:c>
      <x:c r="AD30" s="40" t="str">
        <x:v>✓</x:v>
      </x:c>
      <x:c r="AE30" s="40" t="str">
        <x:v>✓</x:v>
      </x:c>
      <x:c r="AF30" s="40" t="str">
        <x:v>✓</x:v>
      </x:c>
      <x:c r="AG30" s="40" t="str">
        <x:v>✓</x:v>
      </x:c>
      <x:c r="AH30" s="40" t="str">
        <x:v>✓</x:v>
      </x:c>
      <x:c r="AI30" s="40" t="str">
        <x:v>✓</x:v>
      </x:c>
      <x:c r="AJ30" s="40" t="str">
        <x:v>✓</x:v>
      </x:c>
      <x:c r="AK30" s="40" t="str">
        <x:v>✓</x:v>
      </x:c>
      <x:c r="AL30" s="40" t="str">
        <x:v>×</x:v>
      </x:c>
      <x:c r="AM30" s="40" t="str">
        <x:v>✓</x:v>
      </x:c>
      <x:c r="AN30" s="40" t="str">
        <x:v>✓</x:v>
      </x:c>
      <x:c r="AO30" s="40" t="str">
        <x:v>×</x:v>
      </x:c>
      <x:c r="AP30" s="40" t="str">
        <x:v>✓</x:v>
      </x:c>
      <x:c r="AQ30" s="40" t="str">
        <x:v>✓</x:v>
      </x:c>
      <x:c r="AR30" s="40" t="str">
        <x:v>✓</x:v>
      </x:c>
      <x:c r="AS30" s="40" t="str">
        <x:v>✓</x:v>
      </x:c>
      <x:c r="AT30" s="40" t="str">
        <x:v>✓</x:v>
      </x:c>
      <x:c r="AU30" s="40" t="str">
        <x:v>✓</x:v>
      </x:c>
      <x:c r="AV30" s="40" t="str">
        <x:v>✓</x:v>
      </x:c>
      <x:c r="AW30" s="40" t="str">
        <x:v>×</x:v>
      </x:c>
      <x:c r="AX30" s="40" t="str">
        <x:v>✓</x:v>
      </x:c>
      <x:c r="AY30" s="40" t="str">
        <x:v>✓</x:v>
      </x:c>
      <x:c r="AZ30" s="40" t="str">
        <x:v>✓</x:v>
      </x:c>
      <x:c r="BA30" s="40" t="str">
        <x:v>✓</x:v>
      </x:c>
      <x:c r="BB30" s="41" t="str">
        <x:v>✓</x:v>
      </x:c>
    </x:row>
    <x:row r="31">
      <x:c r="A31" s="37" t="str">
        <x:v>fgoals_f3_l</x:v>
      </x:c>
      <x:c r="B31" s="38" t="n">
        <x:f>COUNTIF(D31:BB31,"&lt;&gt;×")</x:f>
        <x:v>37</x:v>
      </x:c>
      <x:c r="C31" s="39" t="n">
        <x:f>B31/51</x:f>
        <x:v>0.7254901960784313</x:v>
      </x:c>
      <x:c r="D31" s="40" t="str">
        <x:v>✓</x:v>
      </x:c>
      <x:c r="E31" s="40" t="str">
        <x:v>×</x:v>
      </x:c>
      <x:c r="F31" s="40" t="str">
        <x:v>✓</x:v>
      </x:c>
      <x:c r="G31" s="40" t="str">
        <x:v>✓</x:v>
      </x:c>
      <x:c r="H31" s="40" t="str">
        <x:v>✓</x:v>
      </x:c>
      <x:c r="I31" s="40" t="str">
        <x:v>✓</x:v>
      </x:c>
      <x:c r="J31" s="40" t="str">
        <x:v>✓</x:v>
      </x:c>
      <x:c r="K31" s="40" t="str">
        <x:v>✓</x:v>
      </x:c>
      <x:c r="L31" s="40" t="str">
        <x:v>×</x:v>
      </x:c>
      <x:c r="M31" s="40" t="str">
        <x:v>×</x:v>
      </x:c>
      <x:c r="N31" s="40" t="str">
        <x:v>×</x:v>
      </x:c>
      <x:c r="O31" s="40" t="str">
        <x:v>×</x:v>
      </x:c>
      <x:c r="P31" s="40" t="str">
        <x:v>✓</x:v>
      </x:c>
      <x:c r="Q31" s="40" t="str">
        <x:v>×</x:v>
      </x:c>
      <x:c r="R31" s="40" t="str">
        <x:v>✓</x:v>
      </x:c>
      <x:c r="S31" s="40" t="str">
        <x:v>✓</x:v>
      </x:c>
      <x:c r="T31" s="40" t="str">
        <x:v>✓</x:v>
      </x:c>
      <x:c r="U31" s="40" t="str">
        <x:v>✓</x:v>
      </x:c>
      <x:c r="V31" s="40" t="str">
        <x:v>×</x:v>
      </x:c>
      <x:c r="W31" s="40" t="str">
        <x:v>✓</x:v>
      </x:c>
      <x:c r="X31" s="40" t="str">
        <x:v>×</x:v>
      </x:c>
      <x:c r="Y31" s="40" t="str">
        <x:v>×</x:v>
      </x:c>
      <x:c r="Z31" s="40" t="str">
        <x:v>✓</x:v>
      </x:c>
      <x:c r="AA31" s="40" t="str">
        <x:v>✓</x:v>
      </x:c>
      <x:c r="AB31" s="40" t="str">
        <x:v>×</x:v>
      </x:c>
      <x:c r="AC31" s="40" t="str">
        <x:v>×</x:v>
      </x:c>
      <x:c r="AD31" s="40" t="str">
        <x:v>✓</x:v>
      </x:c>
      <x:c r="AE31" s="40" t="str">
        <x:v>✓</x:v>
      </x:c>
      <x:c r="AF31" s="40" t="str">
        <x:v>✓</x:v>
      </x:c>
      <x:c r="AG31" s="40" t="str">
        <x:v>✓</x:v>
      </x:c>
      <x:c r="AH31" s="40" t="str">
        <x:v>×</x:v>
      </x:c>
      <x:c r="AI31" s="40" t="str">
        <x:v>✓</x:v>
      </x:c>
      <x:c r="AJ31" s="40" t="str">
        <x:v>✓</x:v>
      </x:c>
      <x:c r="AK31" s="40" t="str">
        <x:v>✓</x:v>
      </x:c>
      <x:c r="AL31" s="40" t="str">
        <x:v>✓</x:v>
      </x:c>
      <x:c r="AM31" s="40" t="str">
        <x:v>✓</x:v>
      </x:c>
      <x:c r="AN31" s="40" t="str">
        <x:v>✓</x:v>
      </x:c>
      <x:c r="AO31" s="40" t="str">
        <x:v>✓</x:v>
      </x:c>
      <x:c r="AP31" s="40" t="str">
        <x:v>✓</x:v>
      </x:c>
      <x:c r="AQ31" s="40" t="str">
        <x:v>×</x:v>
      </x:c>
      <x:c r="AR31" s="40" t="str">
        <x:v>✓</x:v>
      </x:c>
      <x:c r="AS31" s="40" t="str">
        <x:v>✓</x:v>
      </x:c>
      <x:c r="AT31" s="40" t="str">
        <x:v>✓</x:v>
      </x:c>
      <x:c r="AU31" s="40" t="str">
        <x:v>✓</x:v>
      </x:c>
      <x:c r="AV31" s="40" t="str">
        <x:v>✓</x:v>
      </x:c>
      <x:c r="AW31" s="40" t="str">
        <x:v>✓</x:v>
      </x:c>
      <x:c r="AX31" s="40" t="str">
        <x:v>✓</x:v>
      </x:c>
      <x:c r="AY31" s="40" t="str">
        <x:v>✓</x:v>
      </x:c>
      <x:c r="AZ31" s="40" t="str">
        <x:v>✓</x:v>
      </x:c>
      <x:c r="BA31" s="40" t="str">
        <x:v>✓</x:v>
      </x:c>
      <x:c r="BB31" s="41" t="str">
        <x:v>×</x:v>
      </x:c>
    </x:row>
    <x:row r="32">
      <x:c r="A32" s="37" t="str">
        <x:v>fgoals_g3</x:v>
      </x:c>
      <x:c r="B32" s="38" t="n">
        <x:f>COUNTIF(D32:BB32,"&lt;&gt;×")</x:f>
        <x:v>34</x:v>
      </x:c>
      <x:c r="C32" s="39" t="n">
        <x:f>B32/51</x:f>
        <x:v>0.6666666666666666</x:v>
      </x:c>
      <x:c r="D32" s="40" t="str">
        <x:v>✓</x:v>
      </x:c>
      <x:c r="E32" s="40" t="str">
        <x:v>×</x:v>
      </x:c>
      <x:c r="F32" s="40" t="str">
        <x:v>✓</x:v>
      </x:c>
      <x:c r="G32" s="40" t="str">
        <x:v>✓</x:v>
      </x:c>
      <x:c r="H32" s="40" t="str">
        <x:v>×</x:v>
      </x:c>
      <x:c r="I32" s="40" t="str">
        <x:v>✓</x:v>
      </x:c>
      <x:c r="J32" s="40" t="str">
        <x:v>✓</x:v>
      </x:c>
      <x:c r="K32" s="40" t="str">
        <x:v>✓</x:v>
      </x:c>
      <x:c r="L32" s="40" t="str">
        <x:v>×</x:v>
      </x:c>
      <x:c r="M32" s="40" t="str">
        <x:v>×</x:v>
      </x:c>
      <x:c r="N32" s="40" t="str">
        <x:v>×</x:v>
      </x:c>
      <x:c r="O32" s="40" t="str">
        <x:v>×</x:v>
      </x:c>
      <x:c r="P32" s="40" t="str">
        <x:v>✓</x:v>
      </x:c>
      <x:c r="Q32" s="40" t="str">
        <x:v>×</x:v>
      </x:c>
      <x:c r="R32" s="40" t="str">
        <x:v>✓</x:v>
      </x:c>
      <x:c r="S32" s="40" t="str">
        <x:v>✓</x:v>
      </x:c>
      <x:c r="T32" s="40" t="str">
        <x:v>×</x:v>
      </x:c>
      <x:c r="U32" s="40" t="str">
        <x:v>✓</x:v>
      </x:c>
      <x:c r="V32" s="40" t="str">
        <x:v>✓</x:v>
      </x:c>
      <x:c r="W32" s="40" t="str">
        <x:v>✓</x:v>
      </x:c>
      <x:c r="X32" s="40" t="str">
        <x:v>✓</x:v>
      </x:c>
      <x:c r="Y32" s="40" t="str">
        <x:v>×</x:v>
      </x:c>
      <x:c r="Z32" s="40" t="str">
        <x:v>✓</x:v>
      </x:c>
      <x:c r="AA32" s="40" t="str">
        <x:v>×</x:v>
      </x:c>
      <x:c r="AB32" s="40" t="str">
        <x:v>×</x:v>
      </x:c>
      <x:c r="AC32" s="40" t="str">
        <x:v>×</x:v>
      </x:c>
      <x:c r="AD32" s="40" t="str">
        <x:v>✓</x:v>
      </x:c>
      <x:c r="AE32" s="40" t="str">
        <x:v>✓</x:v>
      </x:c>
      <x:c r="AF32" s="40" t="str">
        <x:v>✓</x:v>
      </x:c>
      <x:c r="AG32" s="40" t="str">
        <x:v>✓</x:v>
      </x:c>
      <x:c r="AH32" s="40" t="str">
        <x:v>×</x:v>
      </x:c>
      <x:c r="AI32" s="40" t="str">
        <x:v>✓</x:v>
      </x:c>
      <x:c r="AJ32" s="40" t="str">
        <x:v>✓</x:v>
      </x:c>
      <x:c r="AK32" s="40" t="str">
        <x:v>✓</x:v>
      </x:c>
      <x:c r="AL32" s="40" t="str">
        <x:v>×</x:v>
      </x:c>
      <x:c r="AM32" s="40" t="str">
        <x:v>✓</x:v>
      </x:c>
      <x:c r="AN32" s="40" t="str">
        <x:v>✓</x:v>
      </x:c>
      <x:c r="AO32" s="40" t="str">
        <x:v>✓</x:v>
      </x:c>
      <x:c r="AP32" s="40" t="str">
        <x:v>✓</x:v>
      </x:c>
      <x:c r="AQ32" s="40" t="str">
        <x:v>×</x:v>
      </x:c>
      <x:c r="AR32" s="40" t="str">
        <x:v>✓</x:v>
      </x:c>
      <x:c r="AS32" s="40" t="str">
        <x:v>×</x:v>
      </x:c>
      <x:c r="AT32" s="40" t="str">
        <x:v>✓</x:v>
      </x:c>
      <x:c r="AU32" s="40" t="str">
        <x:v>✓</x:v>
      </x:c>
      <x:c r="AV32" s="40" t="str">
        <x:v>✓</x:v>
      </x:c>
      <x:c r="AW32" s="40" t="str">
        <x:v>✓</x:v>
      </x:c>
      <x:c r="AX32" s="40" t="str">
        <x:v>✓</x:v>
      </x:c>
      <x:c r="AY32" s="40" t="str">
        <x:v>✓</x:v>
      </x:c>
      <x:c r="AZ32" s="40" t="str">
        <x:v>✓</x:v>
      </x:c>
      <x:c r="BA32" s="40" t="str">
        <x:v>✓</x:v>
      </x:c>
      <x:c r="BB32" s="41" t="str">
        <x:v>×</x:v>
      </x:c>
    </x:row>
    <x:row r="33">
      <x:c r="A33" s="37" t="str">
        <x:v>fio_esm_2_0</x:v>
      </x:c>
      <x:c r="B33" s="38" t="n">
        <x:f>COUNTIF(D33:BB33,"&lt;&gt;×")</x:f>
        <x:v>34</x:v>
      </x:c>
      <x:c r="C33" s="39" t="n">
        <x:f>B33/51</x:f>
        <x:v>0.6666666666666666</x:v>
      </x:c>
      <x:c r="D33" s="40" t="str">
        <x:v>✓</x:v>
      </x:c>
      <x:c r="E33" s="40" t="str">
        <x:v>×</x:v>
      </x:c>
      <x:c r="F33" s="40" t="str">
        <x:v>✓</x:v>
      </x:c>
      <x:c r="G33" s="40" t="str">
        <x:v>✓</x:v>
      </x:c>
      <x:c r="H33" s="40" t="str">
        <x:v>×</x:v>
      </x:c>
      <x:c r="I33" s="40" t="str">
        <x:v>✓</x:v>
      </x:c>
      <x:c r="J33" s="40" t="str">
        <x:v>✓</x:v>
      </x:c>
      <x:c r="K33" s="40" t="str">
        <x:v>✓</x:v>
      </x:c>
      <x:c r="L33" s="40" t="str">
        <x:v>×</x:v>
      </x:c>
      <x:c r="M33" s="40" t="str">
        <x:v>✓</x:v>
      </x:c>
      <x:c r="N33" s="40" t="str">
        <x:v>×</x:v>
      </x:c>
      <x:c r="O33" s="40" t="str">
        <x:v>×</x:v>
      </x:c>
      <x:c r="P33" s="40" t="str">
        <x:v>✓</x:v>
      </x:c>
      <x:c r="Q33" s="40" t="str">
        <x:v>×</x:v>
      </x:c>
      <x:c r="R33" s="40" t="str">
        <x:v>✓</x:v>
      </x:c>
      <x:c r="S33" s="40" t="str">
        <x:v>✓</x:v>
      </x:c>
      <x:c r="T33" s="40" t="str">
        <x:v>×</x:v>
      </x:c>
      <x:c r="U33" s="40" t="str">
        <x:v>✓</x:v>
      </x:c>
      <x:c r="V33" s="40" t="str">
        <x:v>×</x:v>
      </x:c>
      <x:c r="W33" s="40" t="str">
        <x:v>✓</x:v>
      </x:c>
      <x:c r="X33" s="40" t="str">
        <x:v>✓</x:v>
      </x:c>
      <x:c r="Y33" s="40" t="str">
        <x:v>×</x:v>
      </x:c>
      <x:c r="Z33" s="40" t="str">
        <x:v>✓</x:v>
      </x:c>
      <x:c r="AA33" s="40" t="str">
        <x:v>✓</x:v>
      </x:c>
      <x:c r="AB33" s="40" t="str">
        <x:v>×</x:v>
      </x:c>
      <x:c r="AC33" s="40" t="str">
        <x:v>×</x:v>
      </x:c>
      <x:c r="AD33" s="40" t="str">
        <x:v>✓</x:v>
      </x:c>
      <x:c r="AE33" s="40" t="str">
        <x:v>✓</x:v>
      </x:c>
      <x:c r="AF33" s="40" t="str">
        <x:v>×</x:v>
      </x:c>
      <x:c r="AG33" s="40" t="str">
        <x:v>✓</x:v>
      </x:c>
      <x:c r="AH33" s="40" t="str">
        <x:v>×</x:v>
      </x:c>
      <x:c r="AI33" s="40" t="str">
        <x:v>✓</x:v>
      </x:c>
      <x:c r="AJ33" s="40" t="str">
        <x:v>✓</x:v>
      </x:c>
      <x:c r="AK33" s="40" t="str">
        <x:v>✓</x:v>
      </x:c>
      <x:c r="AL33" s="40" t="str">
        <x:v>×</x:v>
      </x:c>
      <x:c r="AM33" s="40" t="str">
        <x:v>✓</x:v>
      </x:c>
      <x:c r="AN33" s="40" t="str">
        <x:v>✓</x:v>
      </x:c>
      <x:c r="AO33" s="40" t="str">
        <x:v>✓</x:v>
      </x:c>
      <x:c r="AP33" s="40" t="str">
        <x:v>✓</x:v>
      </x:c>
      <x:c r="AQ33" s="40" t="str">
        <x:v>×</x:v>
      </x:c>
      <x:c r="AR33" s="40" t="str">
        <x:v>✓</x:v>
      </x:c>
      <x:c r="AS33" s="40" t="str">
        <x:v>✓</x:v>
      </x:c>
      <x:c r="AT33" s="40" t="str">
        <x:v>✓</x:v>
      </x:c>
      <x:c r="AU33" s="40" t="str">
        <x:v>✓</x:v>
      </x:c>
      <x:c r="AV33" s="40" t="str">
        <x:v>✓</x:v>
      </x:c>
      <x:c r="AW33" s="40" t="str">
        <x:v>✓</x:v>
      </x:c>
      <x:c r="AX33" s="40" t="str">
        <x:v>✓</x:v>
      </x:c>
      <x:c r="AY33" s="40" t="str">
        <x:v>✓</x:v>
      </x:c>
      <x:c r="AZ33" s="40" t="str">
        <x:v>✓</x:v>
      </x:c>
      <x:c r="BA33" s="40" t="str">
        <x:v>×</x:v>
      </x:c>
      <x:c r="BB33" s="41" t="str">
        <x:v>×</x:v>
      </x:c>
    </x:row>
    <x:row r="34">
      <x:c r="A34" s="37" t="str">
        <x:v>gfdl_esm4</x:v>
      </x:c>
      <x:c r="B34" s="38" t="n">
        <x:f>COUNTIF(D34:BB34,"&lt;&gt;×")</x:f>
        <x:v>35</x:v>
      </x:c>
      <x:c r="C34" s="39" t="n">
        <x:f>B34/51</x:f>
        <x:v>0.6862745098039216</x:v>
      </x:c>
      <x:c r="D34" s="40" t="str">
        <x:v>✓</x:v>
      </x:c>
      <x:c r="E34" s="40" t="str">
        <x:v>×</x:v>
      </x:c>
      <x:c r="F34" s="40" t="str">
        <x:v>✓</x:v>
      </x:c>
      <x:c r="G34" s="40" t="str">
        <x:v>✓</x:v>
      </x:c>
      <x:c r="H34" s="40" t="str">
        <x:v>✓</x:v>
      </x:c>
      <x:c r="I34" s="40" t="str">
        <x:v>✓</x:v>
      </x:c>
      <x:c r="J34" s="40" t="str">
        <x:v>✓</x:v>
      </x:c>
      <x:c r="K34" s="40" t="str">
        <x:v>✓</x:v>
      </x:c>
      <x:c r="L34" s="40" t="str">
        <x:v>✓</x:v>
      </x:c>
      <x:c r="M34" s="40" t="str">
        <x:v>×</x:v>
      </x:c>
      <x:c r="N34" s="40" t="str">
        <x:v>×</x:v>
      </x:c>
      <x:c r="O34" s="40" t="str">
        <x:v>×</x:v>
      </x:c>
      <x:c r="P34" s="40" t="str">
        <x:v>✓</x:v>
      </x:c>
      <x:c r="Q34" s="40" t="str">
        <x:v>×</x:v>
      </x:c>
      <x:c r="R34" s="40" t="str">
        <x:v>✓</x:v>
      </x:c>
      <x:c r="S34" s="40" t="str">
        <x:v>✓</x:v>
      </x:c>
      <x:c r="T34" s="40" t="str">
        <x:v>✓</x:v>
      </x:c>
      <x:c r="U34" s="40" t="str">
        <x:v>✓</x:v>
      </x:c>
      <x:c r="V34" s="40" t="str">
        <x:v>×</x:v>
      </x:c>
      <x:c r="W34" s="40" t="str">
        <x:v>✓</x:v>
      </x:c>
      <x:c r="X34" s="40" t="str">
        <x:v>✓</x:v>
      </x:c>
      <x:c r="Y34" s="40" t="str">
        <x:v>×</x:v>
      </x:c>
      <x:c r="Z34" s="40" t="str">
        <x:v>×</x:v>
      </x:c>
      <x:c r="AA34" s="40" t="str">
        <x:v>×</x:v>
      </x:c>
      <x:c r="AB34" s="40" t="str">
        <x:v>×</x:v>
      </x:c>
      <x:c r="AC34" s="40" t="str">
        <x:v>×</x:v>
      </x:c>
      <x:c r="AD34" s="40" t="str">
        <x:v>✓</x:v>
      </x:c>
      <x:c r="AE34" s="40" t="str">
        <x:v>×</x:v>
      </x:c>
      <x:c r="AF34" s="40" t="str">
        <x:v>×</x:v>
      </x:c>
      <x:c r="AG34" s="40" t="str">
        <x:v>✓</x:v>
      </x:c>
      <x:c r="AH34" s="40" t="str">
        <x:v>✓</x:v>
      </x:c>
      <x:c r="AI34" s="40" t="str">
        <x:v>✓</x:v>
      </x:c>
      <x:c r="AJ34" s="40" t="str">
        <x:v>✓</x:v>
      </x:c>
      <x:c r="AK34" s="40" t="str">
        <x:v>✓</x:v>
      </x:c>
      <x:c r="AL34" s="40" t="str">
        <x:v>✓</x:v>
      </x:c>
      <x:c r="AM34" s="40" t="str">
        <x:v>✓</x:v>
      </x:c>
      <x:c r="AN34" s="40" t="str">
        <x:v>✓</x:v>
      </x:c>
      <x:c r="AO34" s="40" t="str">
        <x:v>✓</x:v>
      </x:c>
      <x:c r="AP34" s="40" t="str">
        <x:v>✓</x:v>
      </x:c>
      <x:c r="AQ34" s="40" t="str">
        <x:v>×</x:v>
      </x:c>
      <x:c r="AR34" s="40" t="str">
        <x:v>✓</x:v>
      </x:c>
      <x:c r="AS34" s="40" t="str">
        <x:v>×</x:v>
      </x:c>
      <x:c r="AT34" s="40" t="str">
        <x:v>✓</x:v>
      </x:c>
      <x:c r="AU34" s="40" t="str">
        <x:v>✓</x:v>
      </x:c>
      <x:c r="AV34" s="40" t="str">
        <x:v>✓</x:v>
      </x:c>
      <x:c r="AW34" s="40" t="str">
        <x:v>✓</x:v>
      </x:c>
      <x:c r="AX34" s="40" t="str">
        <x:v>✓</x:v>
      </x:c>
      <x:c r="AY34" s="40" t="str">
        <x:v>✓</x:v>
      </x:c>
      <x:c r="AZ34" s="40" t="str">
        <x:v>✓</x:v>
      </x:c>
      <x:c r="BA34" s="40" t="str">
        <x:v>✓</x:v>
      </x:c>
      <x:c r="BB34" s="41" t="str">
        <x:v>×</x:v>
      </x:c>
    </x:row>
    <x:row r="35">
      <x:c r="A35" s="37" t="str">
        <x:v>giss_e2_1_g</x:v>
      </x:c>
      <x:c r="B35" s="38" t="n">
        <x:f>COUNTIF(D35:BB35,"&lt;&gt;×")</x:f>
        <x:v>3</x:v>
      </x:c>
      <x:c r="C35" s="39" t="n">
        <x:f>B35/51</x:f>
        <x:v>0.058823529411764705</x:v>
      </x:c>
      <x:c r="D35" s="40" t="str">
        <x:v>×</x:v>
      </x:c>
      <x:c r="E35" s="40" t="str">
        <x:v>×</x:v>
      </x:c>
      <x:c r="F35" s="40" t="str">
        <x:v>×</x:v>
      </x:c>
      <x:c r="G35" s="40" t="str">
        <x:v>×</x:v>
      </x:c>
      <x:c r="H35" s="40" t="str">
        <x:v>×</x:v>
      </x:c>
      <x:c r="I35" s="40" t="str">
        <x:v>×</x:v>
      </x:c>
      <x:c r="J35" s="40" t="str">
        <x:v>×</x:v>
      </x:c>
      <x:c r="K35" s="40" t="str">
        <x:v>×</x:v>
      </x:c>
      <x:c r="L35" s="40" t="str">
        <x:v>×</x:v>
      </x:c>
      <x:c r="M35" s="40" t="str">
        <x:v>×</x:v>
      </x:c>
      <x:c r="N35" s="40" t="str">
        <x:v>×</x:v>
      </x:c>
      <x:c r="O35" s="40" t="str">
        <x:v>×</x:v>
      </x:c>
      <x:c r="P35" s="40" t="str">
        <x:v>×</x:v>
      </x:c>
      <x:c r="Q35" s="40" t="str">
        <x:v>×</x:v>
      </x:c>
      <x:c r="R35" s="40" t="str">
        <x:v>×</x:v>
      </x:c>
      <x:c r="S35" s="40" t="str">
        <x:v>×</x:v>
      </x:c>
      <x:c r="T35" s="40" t="str">
        <x:v>×</x:v>
      </x:c>
      <x:c r="U35" s="40" t="str">
        <x:v>×</x:v>
      </x:c>
      <x:c r="V35" s="40" t="str">
        <x:v>×</x:v>
      </x:c>
      <x:c r="W35" s="40" t="str">
        <x:v>×</x:v>
      </x:c>
      <x:c r="X35" s="40" t="str">
        <x:v>×</x:v>
      </x:c>
      <x:c r="Y35" s="40" t="str">
        <x:v>×</x:v>
      </x:c>
      <x:c r="Z35" s="40" t="str">
        <x:v>×</x:v>
      </x:c>
      <x:c r="AA35" s="40" t="str">
        <x:v>×</x:v>
      </x:c>
      <x:c r="AB35" s="40" t="str">
        <x:v>×</x:v>
      </x:c>
      <x:c r="AC35" s="40" t="str">
        <x:v>×</x:v>
      </x:c>
      <x:c r="AD35" s="40" t="str">
        <x:v>×</x:v>
      </x:c>
      <x:c r="AE35" s="40" t="str">
        <x:v>×</x:v>
      </x:c>
      <x:c r="AF35" s="40" t="str">
        <x:v>×</x:v>
      </x:c>
      <x:c r="AG35" s="40" t="str">
        <x:v>×</x:v>
      </x:c>
      <x:c r="AH35" s="40" t="str">
        <x:v>✓</x:v>
      </x:c>
      <x:c r="AI35" s="40" t="str">
        <x:v>×</x:v>
      </x:c>
      <x:c r="AJ35" s="40" t="str">
        <x:v>×</x:v>
      </x:c>
      <x:c r="AK35" s="40" t="str">
        <x:v>×</x:v>
      </x:c>
      <x:c r="AL35" s="40" t="str">
        <x:v>×</x:v>
      </x:c>
      <x:c r="AM35" s="40" t="str">
        <x:v>×</x:v>
      </x:c>
      <x:c r="AN35" s="40" t="str">
        <x:v>×</x:v>
      </x:c>
      <x:c r="AO35" s="40" t="str">
        <x:v>×</x:v>
      </x:c>
      <x:c r="AP35" s="40" t="str">
        <x:v>×</x:v>
      </x:c>
      <x:c r="AQ35" s="40" t="str">
        <x:v>✓</x:v>
      </x:c>
      <x:c r="AR35" s="40" t="str">
        <x:v>×</x:v>
      </x:c>
      <x:c r="AS35" s="40" t="str">
        <x:v>×</x:v>
      </x:c>
      <x:c r="AT35" s="40" t="str">
        <x:v>×</x:v>
      </x:c>
      <x:c r="AU35" s="40" t="str">
        <x:v>×</x:v>
      </x:c>
      <x:c r="AV35" s="40" t="str">
        <x:v>✓</x:v>
      </x:c>
      <x:c r="AW35" s="40" t="str">
        <x:v>×</x:v>
      </x:c>
      <x:c r="AX35" s="40" t="str">
        <x:v>×</x:v>
      </x:c>
      <x:c r="AY35" s="40" t="str">
        <x:v>×</x:v>
      </x:c>
      <x:c r="AZ35" s="40" t="str">
        <x:v>×</x:v>
      </x:c>
      <x:c r="BA35" s="40" t="str">
        <x:v>×</x:v>
      </x:c>
      <x:c r="BB35" s="41" t="str">
        <x:v>×</x:v>
      </x:c>
    </x:row>
    <x:row r="36">
      <x:c r="A36" s="37" t="str">
        <x:v>giss_e2_1_h</x:v>
      </x:c>
      <x:c r="B36" s="38" t="n">
        <x:f>COUNTIF(D36:BB36,"&lt;&gt;×")</x:f>
        <x:v>35</x:v>
      </x:c>
      <x:c r="C36" s="39" t="n">
        <x:f>B36/51</x:f>
        <x:v>0.6862745098039216</x:v>
      </x:c>
      <x:c r="D36" s="40" t="str">
        <x:v>✓</x:v>
      </x:c>
      <x:c r="E36" s="40" t="str">
        <x:v>×</x:v>
      </x:c>
      <x:c r="F36" s="40" t="str">
        <x:v>✓</x:v>
      </x:c>
      <x:c r="G36" s="40" t="str">
        <x:v>✓</x:v>
      </x:c>
      <x:c r="H36" s="40" t="str">
        <x:v>✓</x:v>
      </x:c>
      <x:c r="I36" s="40" t="str">
        <x:v>✓</x:v>
      </x:c>
      <x:c r="J36" s="40" t="str">
        <x:v>×</x:v>
      </x:c>
      <x:c r="K36" s="40" t="str">
        <x:v>✓</x:v>
      </x:c>
      <x:c r="L36" s="40" t="str">
        <x:v>×</x:v>
      </x:c>
      <x:c r="M36" s="40" t="str">
        <x:v>×</x:v>
      </x:c>
      <x:c r="N36" s="40" t="str">
        <x:v>×</x:v>
      </x:c>
      <x:c r="O36" s="40" t="str">
        <x:v>×</x:v>
      </x:c>
      <x:c r="P36" s="40" t="str">
        <x:v>✓</x:v>
      </x:c>
      <x:c r="Q36" s="40" t="str">
        <x:v>✓</x:v>
      </x:c>
      <x:c r="R36" s="40" t="str">
        <x:v>✓</x:v>
      </x:c>
      <x:c r="S36" s="40" t="str">
        <x:v>✓</x:v>
      </x:c>
      <x:c r="T36" s="40" t="str">
        <x:v>✓</x:v>
      </x:c>
      <x:c r="U36" s="40" t="str">
        <x:v>✓</x:v>
      </x:c>
      <x:c r="V36" s="40" t="str">
        <x:v>×</x:v>
      </x:c>
      <x:c r="W36" s="40" t="str">
        <x:v>✓</x:v>
      </x:c>
      <x:c r="X36" s="40" t="str">
        <x:v>×</x:v>
      </x:c>
      <x:c r="Y36" s="40" t="str">
        <x:v>×</x:v>
      </x:c>
      <x:c r="Z36" s="40" t="str">
        <x:v>×</x:v>
      </x:c>
      <x:c r="AA36" s="40" t="str">
        <x:v>✓</x:v>
      </x:c>
      <x:c r="AB36" s="40" t="str">
        <x:v>×</x:v>
      </x:c>
      <x:c r="AC36" s="40" t="str">
        <x:v>×</x:v>
      </x:c>
      <x:c r="AD36" s="40" t="str">
        <x:v>×</x:v>
      </x:c>
      <x:c r="AE36" s="40" t="str">
        <x:v>✓</x:v>
      </x:c>
      <x:c r="AF36" s="40" t="str">
        <x:v>✓</x:v>
      </x:c>
      <x:c r="AG36" s="40" t="str">
        <x:v>✓</x:v>
      </x:c>
      <x:c r="AH36" s="40" t="str">
        <x:v>✓</x:v>
      </x:c>
      <x:c r="AI36" s="40" t="str">
        <x:v>✓</x:v>
      </x:c>
      <x:c r="AJ36" s="40" t="str">
        <x:v>×</x:v>
      </x:c>
      <x:c r="AK36" s="40" t="str">
        <x:v>✓</x:v>
      </x:c>
      <x:c r="AL36" s="40" t="str">
        <x:v>×</x:v>
      </x:c>
      <x:c r="AM36" s="40" t="str">
        <x:v>✓</x:v>
      </x:c>
      <x:c r="AN36" s="40" t="str">
        <x:v>✓</x:v>
      </x:c>
      <x:c r="AO36" s="40" t="str">
        <x:v>✓</x:v>
      </x:c>
      <x:c r="AP36" s="40" t="str">
        <x:v>✓</x:v>
      </x:c>
      <x:c r="AQ36" s="40" t="str">
        <x:v>✓</x:v>
      </x:c>
      <x:c r="AR36" s="40" t="str">
        <x:v>✓</x:v>
      </x:c>
      <x:c r="AS36" s="40" t="str">
        <x:v>×</x:v>
      </x:c>
      <x:c r="AT36" s="40" t="str">
        <x:v>✓</x:v>
      </x:c>
      <x:c r="AU36" s="40" t="str">
        <x:v>✓</x:v>
      </x:c>
      <x:c r="AV36" s="40" t="str">
        <x:v>✓</x:v>
      </x:c>
      <x:c r="AW36" s="40" t="str">
        <x:v>✓</x:v>
      </x:c>
      <x:c r="AX36" s="40" t="str">
        <x:v>✓</x:v>
      </x:c>
      <x:c r="AY36" s="40" t="str">
        <x:v>✓</x:v>
      </x:c>
      <x:c r="AZ36" s="40" t="str">
        <x:v>✓</x:v>
      </x:c>
      <x:c r="BA36" s="40" t="str">
        <x:v>✓</x:v>
      </x:c>
      <x:c r="BB36" s="41" t="str">
        <x:v>✓</x:v>
      </x:c>
    </x:row>
    <x:row r="37">
      <x:c r="A37" s="37" t="str">
        <x:v>hadgem3_gc31_ll</x:v>
      </x:c>
      <x:c r="B37" s="38" t="n">
        <x:f>COUNTIF(D37:BB37,"&lt;&gt;×")</x:f>
        <x:v>39</x:v>
      </x:c>
      <x:c r="C37" s="39" t="n">
        <x:f>B37/51</x:f>
        <x:v>0.7647058823529411</x:v>
      </x:c>
      <x:c r="D37" s="40" t="str">
        <x:v>✓</x:v>
      </x:c>
      <x:c r="E37" s="40" t="str">
        <x:v>×</x:v>
      </x:c>
      <x:c r="F37" s="40" t="str">
        <x:v>✓</x:v>
      </x:c>
      <x:c r="G37" s="40" t="str">
        <x:v>✓</x:v>
      </x:c>
      <x:c r="H37" s="40" t="str">
        <x:v>✓</x:v>
      </x:c>
      <x:c r="I37" s="40" t="str">
        <x:v>✓</x:v>
      </x:c>
      <x:c r="J37" s="40" t="str">
        <x:v>✓</x:v>
      </x:c>
      <x:c r="K37" s="40" t="str">
        <x:v>✓</x:v>
      </x:c>
      <x:c r="L37" s="40" t="str">
        <x:v>×</x:v>
      </x:c>
      <x:c r="M37" s="40" t="str">
        <x:v>×</x:v>
      </x:c>
      <x:c r="N37" s="40" t="str">
        <x:v>×</x:v>
      </x:c>
      <x:c r="O37" s="40" t="str">
        <x:v>×</x:v>
      </x:c>
      <x:c r="P37" s="40" t="str">
        <x:v>✓</x:v>
      </x:c>
      <x:c r="Q37" s="40" t="str">
        <x:v>×</x:v>
      </x:c>
      <x:c r="R37" s="40" t="str">
        <x:v>✓</x:v>
      </x:c>
      <x:c r="S37" s="40" t="str">
        <x:v>✓</x:v>
      </x:c>
      <x:c r="T37" s="40" t="str">
        <x:v>✓</x:v>
      </x:c>
      <x:c r="U37" s="40" t="str">
        <x:v>✓</x:v>
      </x:c>
      <x:c r="V37" s="40" t="str">
        <x:v>×</x:v>
      </x:c>
      <x:c r="W37" s="40" t="str">
        <x:v>✓</x:v>
      </x:c>
      <x:c r="X37" s="40" t="str">
        <x:v>✓</x:v>
      </x:c>
      <x:c r="Y37" s="40" t="str">
        <x:v>×</x:v>
      </x:c>
      <x:c r="Z37" s="40" t="str">
        <x:v>×</x:v>
      </x:c>
      <x:c r="AA37" s="40" t="str">
        <x:v>✓</x:v>
      </x:c>
      <x:c r="AB37" s="40" t="str">
        <x:v>✓</x:v>
      </x:c>
      <x:c r="AC37" s="40" t="str">
        <x:v>✓</x:v>
      </x:c>
      <x:c r="AD37" s="40" t="str">
        <x:v>✓</x:v>
      </x:c>
      <x:c r="AE37" s="40" t="str">
        <x:v>✓</x:v>
      </x:c>
      <x:c r="AF37" s="40" t="str">
        <x:v>✓</x:v>
      </x:c>
      <x:c r="AG37" s="40" t="str">
        <x:v>✓</x:v>
      </x:c>
      <x:c r="AH37" s="40" t="str">
        <x:v>×</x:v>
      </x:c>
      <x:c r="AI37" s="40" t="str">
        <x:v>✓</x:v>
      </x:c>
      <x:c r="AJ37" s="40" t="str">
        <x:v>✓</x:v>
      </x:c>
      <x:c r="AK37" s="40" t="str">
        <x:v>✓</x:v>
      </x:c>
      <x:c r="AL37" s="40" t="str">
        <x:v>×</x:v>
      </x:c>
      <x:c r="AM37" s="40" t="str">
        <x:v>✓</x:v>
      </x:c>
      <x:c r="AN37" s="40" t="str">
        <x:v>✓</x:v>
      </x:c>
      <x:c r="AO37" s="40" t="str">
        <x:v>✓</x:v>
      </x:c>
      <x:c r="AP37" s="40" t="str">
        <x:v>✓</x:v>
      </x:c>
      <x:c r="AQ37" s="40" t="str">
        <x:v>×</x:v>
      </x:c>
      <x:c r="AR37" s="40" t="str">
        <x:v>✓</x:v>
      </x:c>
      <x:c r="AS37" s="40" t="str">
        <x:v>✓</x:v>
      </x:c>
      <x:c r="AT37" s="40" t="str">
        <x:v>✓</x:v>
      </x:c>
      <x:c r="AU37" s="40" t="str">
        <x:v>✓</x:v>
      </x:c>
      <x:c r="AV37" s="40" t="str">
        <x:v>✓</x:v>
      </x:c>
      <x:c r="AW37" s="40" t="str">
        <x:v>✓</x:v>
      </x:c>
      <x:c r="AX37" s="40" t="str">
        <x:v>✓</x:v>
      </x:c>
      <x:c r="AY37" s="40" t="str">
        <x:v>✓</x:v>
      </x:c>
      <x:c r="AZ37" s="40" t="str">
        <x:v>✓</x:v>
      </x:c>
      <x:c r="BA37" s="40" t="str">
        <x:v>✓</x:v>
      </x:c>
      <x:c r="BB37" s="41" t="str">
        <x:v>✓</x:v>
      </x:c>
    </x:row>
    <x:row r="38">
      <x:c r="A38" s="37" t="str">
        <x:v>hadgem3_gc31_mm</x:v>
      </x:c>
      <x:c r="B38" s="38" t="n">
        <x:f>COUNTIF(D38:BB38,"&lt;&gt;×")</x:f>
        <x:v>37</x:v>
      </x:c>
      <x:c r="C38" s="39" t="n">
        <x:f>B38/51</x:f>
        <x:v>0.7254901960784313</x:v>
      </x:c>
      <x:c r="D38" s="40" t="str">
        <x:v>✓</x:v>
      </x:c>
      <x:c r="E38" s="40" t="str">
        <x:v>×</x:v>
      </x:c>
      <x:c r="F38" s="40" t="str">
        <x:v>✓</x:v>
      </x:c>
      <x:c r="G38" s="40" t="str">
        <x:v>✓</x:v>
      </x:c>
      <x:c r="H38" s="40" t="str">
        <x:v>✓</x:v>
      </x:c>
      <x:c r="I38" s="40" t="str">
        <x:v>✓</x:v>
      </x:c>
      <x:c r="J38" s="40" t="str">
        <x:v>✓</x:v>
      </x:c>
      <x:c r="K38" s="40" t="str">
        <x:v>✓</x:v>
      </x:c>
      <x:c r="L38" s="40" t="str">
        <x:v>×</x:v>
      </x:c>
      <x:c r="M38" s="40" t="str">
        <x:v>×</x:v>
      </x:c>
      <x:c r="N38" s="40" t="str">
        <x:v>×</x:v>
      </x:c>
      <x:c r="O38" s="40" t="str">
        <x:v>×</x:v>
      </x:c>
      <x:c r="P38" s="40" t="str">
        <x:v>✓</x:v>
      </x:c>
      <x:c r="Q38" s="40" t="str">
        <x:v>×</x:v>
      </x:c>
      <x:c r="R38" s="40" t="str">
        <x:v>✓</x:v>
      </x:c>
      <x:c r="S38" s="40" t="str">
        <x:v>✓</x:v>
      </x:c>
      <x:c r="T38" s="40" t="str">
        <x:v>✓</x:v>
      </x:c>
      <x:c r="U38" s="40" t="str">
        <x:v>✓</x:v>
      </x:c>
      <x:c r="V38" s="40" t="str">
        <x:v>×</x:v>
      </x:c>
      <x:c r="W38" s="40" t="str">
        <x:v>✓</x:v>
      </x:c>
      <x:c r="X38" s="40" t="str">
        <x:v>✓</x:v>
      </x:c>
      <x:c r="Y38" s="40" t="str">
        <x:v>×</x:v>
      </x:c>
      <x:c r="Z38" s="40" t="str">
        <x:v>×</x:v>
      </x:c>
      <x:c r="AA38" s="40" t="str">
        <x:v>✓</x:v>
      </x:c>
      <x:c r="AB38" s="40" t="str">
        <x:v>×</x:v>
      </x:c>
      <x:c r="AC38" s="40" t="str">
        <x:v>×</x:v>
      </x:c>
      <x:c r="AD38" s="40" t="str">
        <x:v>✓</x:v>
      </x:c>
      <x:c r="AE38" s="40" t="str">
        <x:v>✓</x:v>
      </x:c>
      <x:c r="AF38" s="40" t="str">
        <x:v>✓</x:v>
      </x:c>
      <x:c r="AG38" s="40" t="str">
        <x:v>✓</x:v>
      </x:c>
      <x:c r="AH38" s="40" t="str">
        <x:v>×</x:v>
      </x:c>
      <x:c r="AI38" s="40" t="str">
        <x:v>✓</x:v>
      </x:c>
      <x:c r="AJ38" s="40" t="str">
        <x:v>✓</x:v>
      </x:c>
      <x:c r="AK38" s="40" t="str">
        <x:v>✓</x:v>
      </x:c>
      <x:c r="AL38" s="40" t="str">
        <x:v>×</x:v>
      </x:c>
      <x:c r="AM38" s="40" t="str">
        <x:v>✓</x:v>
      </x:c>
      <x:c r="AN38" s="40" t="str">
        <x:v>✓</x:v>
      </x:c>
      <x:c r="AO38" s="40" t="str">
        <x:v>✓</x:v>
      </x:c>
      <x:c r="AP38" s="40" t="str">
        <x:v>✓</x:v>
      </x:c>
      <x:c r="AQ38" s="40" t="str">
        <x:v>×</x:v>
      </x:c>
      <x:c r="AR38" s="40" t="str">
        <x:v>✓</x:v>
      </x:c>
      <x:c r="AS38" s="40" t="str">
        <x:v>✓</x:v>
      </x:c>
      <x:c r="AT38" s="40" t="str">
        <x:v>✓</x:v>
      </x:c>
      <x:c r="AU38" s="40" t="str">
        <x:v>✓</x:v>
      </x:c>
      <x:c r="AV38" s="40" t="str">
        <x:v>✓</x:v>
      </x:c>
      <x:c r="AW38" s="40" t="str">
        <x:v>✓</x:v>
      </x:c>
      <x:c r="AX38" s="40" t="str">
        <x:v>✓</x:v>
      </x:c>
      <x:c r="AY38" s="40" t="str">
        <x:v>✓</x:v>
      </x:c>
      <x:c r="AZ38" s="40" t="str">
        <x:v>✓</x:v>
      </x:c>
      <x:c r="BA38" s="40" t="str">
        <x:v>✓</x:v>
      </x:c>
      <x:c r="BB38" s="41" t="str">
        <x:v>✓</x:v>
      </x:c>
    </x:row>
    <x:row r="39">
      <x:c r="A39" s="37" t="str">
        <x:v>iitm_esm</x:v>
      </x:c>
      <x:c r="B39" s="38" t="n">
        <x:f>COUNTIF(D39:BB39,"&lt;&gt;×")</x:f>
        <x:v>29</x:v>
      </x:c>
      <x:c r="C39" s="39" t="n">
        <x:f>B39/51</x:f>
        <x:v>0.5686274509803921</x:v>
      </x:c>
      <x:c r="D39" s="40" t="str">
        <x:v>✓</x:v>
      </x:c>
      <x:c r="E39" s="40" t="str">
        <x:v>×</x:v>
      </x:c>
      <x:c r="F39" s="40" t="str">
        <x:v>×</x:v>
      </x:c>
      <x:c r="G39" s="40" t="str">
        <x:v>×</x:v>
      </x:c>
      <x:c r="H39" s="40" t="str">
        <x:v>✓</x:v>
      </x:c>
      <x:c r="I39" s="40" t="str">
        <x:v>✓</x:v>
      </x:c>
      <x:c r="J39" s="40" t="str">
        <x:v>✓</x:v>
      </x:c>
      <x:c r="K39" s="40" t="str">
        <x:v>✓</x:v>
      </x:c>
      <x:c r="L39" s="40" t="str">
        <x:v>×</x:v>
      </x:c>
      <x:c r="M39" s="40" t="str">
        <x:v>×</x:v>
      </x:c>
      <x:c r="N39" s="40" t="str">
        <x:v>×</x:v>
      </x:c>
      <x:c r="O39" s="40" t="str">
        <x:v>×</x:v>
      </x:c>
      <x:c r="P39" s="40" t="str">
        <x:v>✓</x:v>
      </x:c>
      <x:c r="Q39" s="40" t="str">
        <x:v>×</x:v>
      </x:c>
      <x:c r="R39" s="40" t="str">
        <x:v>✓</x:v>
      </x:c>
      <x:c r="S39" s="40" t="str">
        <x:v>✓</x:v>
      </x:c>
      <x:c r="T39" s="40" t="str">
        <x:v>✓</x:v>
      </x:c>
      <x:c r="U39" s="40" t="str">
        <x:v>✓</x:v>
      </x:c>
      <x:c r="V39" s="40" t="str">
        <x:v>×</x:v>
      </x:c>
      <x:c r="W39" s="40" t="str">
        <x:v>✓</x:v>
      </x:c>
      <x:c r="X39" s="40" t="str">
        <x:v>×</x:v>
      </x:c>
      <x:c r="Y39" s="40" t="str">
        <x:v>×</x:v>
      </x:c>
      <x:c r="Z39" s="40" t="str">
        <x:v>×</x:v>
      </x:c>
      <x:c r="AA39" s="40" t="str">
        <x:v>×</x:v>
      </x:c>
      <x:c r="AB39" s="40" t="str">
        <x:v>×</x:v>
      </x:c>
      <x:c r="AC39" s="40" t="str">
        <x:v>×</x:v>
      </x:c>
      <x:c r="AD39" s="40" t="str">
        <x:v>✓</x:v>
      </x:c>
      <x:c r="AE39" s="40" t="str">
        <x:v>×</x:v>
      </x:c>
      <x:c r="AF39" s="40" t="str">
        <x:v>✓</x:v>
      </x:c>
      <x:c r="AG39" s="40" t="str">
        <x:v>✓</x:v>
      </x:c>
      <x:c r="AH39" s="40" t="str">
        <x:v>×</x:v>
      </x:c>
      <x:c r="AI39" s="40" t="str">
        <x:v>✓</x:v>
      </x:c>
      <x:c r="AJ39" s="40" t="str">
        <x:v>✓</x:v>
      </x:c>
      <x:c r="AK39" s="40" t="str">
        <x:v>×</x:v>
      </x:c>
      <x:c r="AL39" s="40" t="str">
        <x:v>×</x:v>
      </x:c>
      <x:c r="AM39" s="40" t="str">
        <x:v>✓</x:v>
      </x:c>
      <x:c r="AN39" s="40" t="str">
        <x:v>✓</x:v>
      </x:c>
      <x:c r="AO39" s="40" t="str">
        <x:v>✓</x:v>
      </x:c>
      <x:c r="AP39" s="40" t="str">
        <x:v>✓</x:v>
      </x:c>
      <x:c r="AQ39" s="40" t="str">
        <x:v>×</x:v>
      </x:c>
      <x:c r="AR39" s="40" t="str">
        <x:v>✓</x:v>
      </x:c>
      <x:c r="AS39" s="40" t="str">
        <x:v>×</x:v>
      </x:c>
      <x:c r="AT39" s="40" t="str">
        <x:v>✓</x:v>
      </x:c>
      <x:c r="AU39" s="40" t="str">
        <x:v>✓</x:v>
      </x:c>
      <x:c r="AV39" s="40" t="str">
        <x:v>✓</x:v>
      </x:c>
      <x:c r="AW39" s="40" t="str">
        <x:v>✓</x:v>
      </x:c>
      <x:c r="AX39" s="40" t="str">
        <x:v>✓</x:v>
      </x:c>
      <x:c r="AY39" s="40" t="str">
        <x:v>✓</x:v>
      </x:c>
      <x:c r="AZ39" s="40" t="str">
        <x:v>✓</x:v>
      </x:c>
      <x:c r="BA39" s="40" t="str">
        <x:v>✓</x:v>
      </x:c>
      <x:c r="BB39" s="41" t="str">
        <x:v>×</x:v>
      </x:c>
    </x:row>
    <x:row r="40">
      <x:c r="A40" s="37" t="str">
        <x:v>inm_cm4_8</x:v>
      </x:c>
      <x:c r="B40" s="38" t="n">
        <x:f>COUNTIF(D40:BB40,"&lt;&gt;×")</x:f>
        <x:v>42</x:v>
      </x:c>
      <x:c r="C40" s="39" t="n">
        <x:f>B40/51</x:f>
        <x:v>0.8235294117647058</x:v>
      </x:c>
      <x:c r="D40" s="40" t="str">
        <x:v>✓</x:v>
      </x:c>
      <x:c r="E40" s="40" t="str">
        <x:v>✓</x:v>
      </x:c>
      <x:c r="F40" s="40" t="str">
        <x:v>✓</x:v>
      </x:c>
      <x:c r="G40" s="40" t="str">
        <x:v>✓</x:v>
      </x:c>
      <x:c r="H40" s="40" t="str">
        <x:v>✓</x:v>
      </x:c>
      <x:c r="I40" s="40" t="str">
        <x:v>✓</x:v>
      </x:c>
      <x:c r="J40" s="40" t="str">
        <x:v>✓</x:v>
      </x:c>
      <x:c r="K40" s="40" t="str">
        <x:v>✓</x:v>
      </x:c>
      <x:c r="L40" s="40" t="str">
        <x:v>✓</x:v>
      </x:c>
      <x:c r="M40" s="40" t="str">
        <x:v>×</x:v>
      </x:c>
      <x:c r="N40" s="40" t="str">
        <x:v>✓</x:v>
      </x:c>
      <x:c r="O40" s="40" t="str">
        <x:v>×</x:v>
      </x:c>
      <x:c r="P40" s="40" t="str">
        <x:v>✓</x:v>
      </x:c>
      <x:c r="Q40" s="40" t="str">
        <x:v>×</x:v>
      </x:c>
      <x:c r="R40" s="40" t="str">
        <x:v>✓</x:v>
      </x:c>
      <x:c r="S40" s="40" t="str">
        <x:v>✓</x:v>
      </x:c>
      <x:c r="T40" s="40" t="str">
        <x:v>✓</x:v>
      </x:c>
      <x:c r="U40" s="40" t="str">
        <x:v>✓</x:v>
      </x:c>
      <x:c r="V40" s="40" t="str">
        <x:v>✓</x:v>
      </x:c>
      <x:c r="W40" s="40" t="str">
        <x:v>✓</x:v>
      </x:c>
      <x:c r="X40" s="40" t="str">
        <x:v>✓</x:v>
      </x:c>
      <x:c r="Y40" s="40" t="str">
        <x:v>×</x:v>
      </x:c>
      <x:c r="Z40" s="40" t="str">
        <x:v>×</x:v>
      </x:c>
      <x:c r="AA40" s="40" t="str">
        <x:v>✓</x:v>
      </x:c>
      <x:c r="AB40" s="40" t="str">
        <x:v>✓</x:v>
      </x:c>
      <x:c r="AC40" s="40" t="str">
        <x:v>×</x:v>
      </x:c>
      <x:c r="AD40" s="40" t="str">
        <x:v>✓</x:v>
      </x:c>
      <x:c r="AE40" s="40" t="str">
        <x:v>✓</x:v>
      </x:c>
      <x:c r="AF40" s="40" t="str">
        <x:v>✓</x:v>
      </x:c>
      <x:c r="AG40" s="40" t="str">
        <x:v>✓</x:v>
      </x:c>
      <x:c r="AH40" s="40" t="str">
        <x:v>×</x:v>
      </x:c>
      <x:c r="AI40" s="40" t="str">
        <x:v>✓</x:v>
      </x:c>
      <x:c r="AJ40" s="40" t="str">
        <x:v>✓</x:v>
      </x:c>
      <x:c r="AK40" s="40" t="str">
        <x:v>✓</x:v>
      </x:c>
      <x:c r="AL40" s="40" t="str">
        <x:v>✓</x:v>
      </x:c>
      <x:c r="AM40" s="40" t="str">
        <x:v>✓</x:v>
      </x:c>
      <x:c r="AN40" s="40" t="str">
        <x:v>✓</x:v>
      </x:c>
      <x:c r="AO40" s="40" t="str">
        <x:v>✓</x:v>
      </x:c>
      <x:c r="AP40" s="40" t="str">
        <x:v>✓</x:v>
      </x:c>
      <x:c r="AQ40" s="40" t="str">
        <x:v>×</x:v>
      </x:c>
      <x:c r="AR40" s="40" t="str">
        <x:v>✓</x:v>
      </x:c>
      <x:c r="AS40" s="40" t="str">
        <x:v>×</x:v>
      </x:c>
      <x:c r="AT40" s="40" t="str">
        <x:v>✓</x:v>
      </x:c>
      <x:c r="AU40" s="40" t="str">
        <x:v>✓</x:v>
      </x:c>
      <x:c r="AV40" s="40" t="str">
        <x:v>✓</x:v>
      </x:c>
      <x:c r="AW40" s="40" t="str">
        <x:v>✓</x:v>
      </x:c>
      <x:c r="AX40" s="40" t="str">
        <x:v>✓</x:v>
      </x:c>
      <x:c r="AY40" s="40" t="str">
        <x:v>✓</x:v>
      </x:c>
      <x:c r="AZ40" s="40" t="str">
        <x:v>✓</x:v>
      </x:c>
      <x:c r="BA40" s="40" t="str">
        <x:v>✓</x:v>
      </x:c>
      <x:c r="BB40" s="41" t="str">
        <x:v>✓</x:v>
      </x:c>
    </x:row>
    <x:row r="41">
      <x:c r="A41" s="37" t="str">
        <x:v>inm_cm5_0</x:v>
      </x:c>
      <x:c r="B41" s="38" t="n">
        <x:f>COUNTIF(D41:BB41,"&lt;&gt;×")</x:f>
        <x:v>42</x:v>
      </x:c>
      <x:c r="C41" s="39" t="n">
        <x:f>B41/51</x:f>
        <x:v>0.8235294117647058</x:v>
      </x:c>
      <x:c r="D41" s="40" t="str">
        <x:v>✓</x:v>
      </x:c>
      <x:c r="E41" s="40" t="str">
        <x:v>✓</x:v>
      </x:c>
      <x:c r="F41" s="40" t="str">
        <x:v>✓</x:v>
      </x:c>
      <x:c r="G41" s="40" t="str">
        <x:v>✓</x:v>
      </x:c>
      <x:c r="H41" s="40" t="str">
        <x:v>✓</x:v>
      </x:c>
      <x:c r="I41" s="40" t="str">
        <x:v>✓</x:v>
      </x:c>
      <x:c r="J41" s="40" t="str">
        <x:v>✓</x:v>
      </x:c>
      <x:c r="K41" s="40" t="str">
        <x:v>✓</x:v>
      </x:c>
      <x:c r="L41" s="40" t="str">
        <x:v>✓</x:v>
      </x:c>
      <x:c r="M41" s="40" t="str">
        <x:v>×</x:v>
      </x:c>
      <x:c r="N41" s="40" t="str">
        <x:v>✓</x:v>
      </x:c>
      <x:c r="O41" s="40" t="str">
        <x:v>×</x:v>
      </x:c>
      <x:c r="P41" s="40" t="str">
        <x:v>✓</x:v>
      </x:c>
      <x:c r="Q41" s="40" t="str">
        <x:v>×</x:v>
      </x:c>
      <x:c r="R41" s="40" t="str">
        <x:v>✓</x:v>
      </x:c>
      <x:c r="S41" s="40" t="str">
        <x:v>✓</x:v>
      </x:c>
      <x:c r="T41" s="40" t="str">
        <x:v>✓</x:v>
      </x:c>
      <x:c r="U41" s="40" t="str">
        <x:v>✓</x:v>
      </x:c>
      <x:c r="V41" s="40" t="str">
        <x:v>✓</x:v>
      </x:c>
      <x:c r="W41" s="40" t="str">
        <x:v>✓</x:v>
      </x:c>
      <x:c r="X41" s="40" t="str">
        <x:v>✓</x:v>
      </x:c>
      <x:c r="Y41" s="40" t="str">
        <x:v>×</x:v>
      </x:c>
      <x:c r="Z41" s="40" t="str">
        <x:v>×</x:v>
      </x:c>
      <x:c r="AA41" s="40" t="str">
        <x:v>✓</x:v>
      </x:c>
      <x:c r="AB41" s="40" t="str">
        <x:v>✓</x:v>
      </x:c>
      <x:c r="AC41" s="40" t="str">
        <x:v>×</x:v>
      </x:c>
      <x:c r="AD41" s="40" t="str">
        <x:v>✓</x:v>
      </x:c>
      <x:c r="AE41" s="40" t="str">
        <x:v>✓</x:v>
      </x:c>
      <x:c r="AF41" s="40" t="str">
        <x:v>✓</x:v>
      </x:c>
      <x:c r="AG41" s="40" t="str">
        <x:v>✓</x:v>
      </x:c>
      <x:c r="AH41" s="40" t="str">
        <x:v>×</x:v>
      </x:c>
      <x:c r="AI41" s="40" t="str">
        <x:v>✓</x:v>
      </x:c>
      <x:c r="AJ41" s="40" t="str">
        <x:v>✓</x:v>
      </x:c>
      <x:c r="AK41" s="40" t="str">
        <x:v>✓</x:v>
      </x:c>
      <x:c r="AL41" s="40" t="str">
        <x:v>✓</x:v>
      </x:c>
      <x:c r="AM41" s="40" t="str">
        <x:v>✓</x:v>
      </x:c>
      <x:c r="AN41" s="40" t="str">
        <x:v>✓</x:v>
      </x:c>
      <x:c r="AO41" s="40" t="str">
        <x:v>✓</x:v>
      </x:c>
      <x:c r="AP41" s="40" t="str">
        <x:v>✓</x:v>
      </x:c>
      <x:c r="AQ41" s="40" t="str">
        <x:v>×</x:v>
      </x:c>
      <x:c r="AR41" s="40" t="str">
        <x:v>✓</x:v>
      </x:c>
      <x:c r="AS41" s="40" t="str">
        <x:v>×</x:v>
      </x:c>
      <x:c r="AT41" s="40" t="str">
        <x:v>✓</x:v>
      </x:c>
      <x:c r="AU41" s="40" t="str">
        <x:v>✓</x:v>
      </x:c>
      <x:c r="AV41" s="40" t="str">
        <x:v>✓</x:v>
      </x:c>
      <x:c r="AW41" s="40" t="str">
        <x:v>✓</x:v>
      </x:c>
      <x:c r="AX41" s="40" t="str">
        <x:v>✓</x:v>
      </x:c>
      <x:c r="AY41" s="40" t="str">
        <x:v>✓</x:v>
      </x:c>
      <x:c r="AZ41" s="40" t="str">
        <x:v>✓</x:v>
      </x:c>
      <x:c r="BA41" s="40" t="str">
        <x:v>✓</x:v>
      </x:c>
      <x:c r="BB41" s="41" t="str">
        <x:v>✓</x:v>
      </x:c>
    </x:row>
    <x:row r="42">
      <x:c r="A42" s="37" t="str">
        <x:v>ipsl_cm5a2_inca</x:v>
      </x:c>
      <x:c r="B42" s="38" t="n">
        <x:f>COUNTIF(D42:BB42,"&lt;&gt;×")</x:f>
        <x:v>30</x:v>
      </x:c>
      <x:c r="C42" s="39" t="n">
        <x:f>B42/51</x:f>
        <x:v>0.5882352941176471</x:v>
      </x:c>
      <x:c r="D42" s="40" t="str">
        <x:v>✓</x:v>
      </x:c>
      <x:c r="E42" s="40" t="str">
        <x:v>×</x:v>
      </x:c>
      <x:c r="F42" s="40" t="str">
        <x:v>×</x:v>
      </x:c>
      <x:c r="G42" s="40" t="str">
        <x:v>×</x:v>
      </x:c>
      <x:c r="H42" s="40" t="str">
        <x:v>✓</x:v>
      </x:c>
      <x:c r="I42" s="40" t="str">
        <x:v>✓</x:v>
      </x:c>
      <x:c r="J42" s="40" t="str">
        <x:v>✓</x:v>
      </x:c>
      <x:c r="K42" s="40" t="str">
        <x:v>×</x:v>
      </x:c>
      <x:c r="L42" s="40" t="str">
        <x:v>✓</x:v>
      </x:c>
      <x:c r="M42" s="40" t="str">
        <x:v>×</x:v>
      </x:c>
      <x:c r="N42" s="40" t="str">
        <x:v>×</x:v>
      </x:c>
      <x:c r="O42" s="40" t="str">
        <x:v>×</x:v>
      </x:c>
      <x:c r="P42" s="40" t="str">
        <x:v>✓</x:v>
      </x:c>
      <x:c r="Q42" s="40" t="str">
        <x:v>✓</x:v>
      </x:c>
      <x:c r="R42" s="40" t="str">
        <x:v>✓</x:v>
      </x:c>
      <x:c r="S42" s="40" t="str">
        <x:v>✓</x:v>
      </x:c>
      <x:c r="T42" s="40" t="str">
        <x:v>✓</x:v>
      </x:c>
      <x:c r="U42" s="40" t="str">
        <x:v>✓</x:v>
      </x:c>
      <x:c r="V42" s="40" t="str">
        <x:v>×</x:v>
      </x:c>
      <x:c r="W42" s="40" t="str">
        <x:v>✓</x:v>
      </x:c>
      <x:c r="X42" s="40" t="str">
        <x:v>×</x:v>
      </x:c>
      <x:c r="Y42" s="40" t="str">
        <x:v>×</x:v>
      </x:c>
      <x:c r="Z42" s="40" t="str">
        <x:v>×</x:v>
      </x:c>
      <x:c r="AA42" s="40" t="str">
        <x:v>✓</x:v>
      </x:c>
      <x:c r="AB42" s="40" t="str">
        <x:v>×</x:v>
      </x:c>
      <x:c r="AC42" s="40" t="str">
        <x:v>✓</x:v>
      </x:c>
      <x:c r="AD42" s="40" t="str">
        <x:v>✓</x:v>
      </x:c>
      <x:c r="AE42" s="40" t="str">
        <x:v>×</x:v>
      </x:c>
      <x:c r="AF42" s="40" t="str">
        <x:v>✓</x:v>
      </x:c>
      <x:c r="AG42" s="40" t="str">
        <x:v>✓</x:v>
      </x:c>
      <x:c r="AH42" s="40" t="str">
        <x:v>×</x:v>
      </x:c>
      <x:c r="AI42" s="40" t="str">
        <x:v>✓</x:v>
      </x:c>
      <x:c r="AJ42" s="40" t="str">
        <x:v>✓</x:v>
      </x:c>
      <x:c r="AK42" s="40" t="str">
        <x:v>✓</x:v>
      </x:c>
      <x:c r="AL42" s="40" t="str">
        <x:v>×</x:v>
      </x:c>
      <x:c r="AM42" s="40" t="str">
        <x:v>✓</x:v>
      </x:c>
      <x:c r="AN42" s="40" t="str">
        <x:v>✓</x:v>
      </x:c>
      <x:c r="AO42" s="40" t="str">
        <x:v>✓</x:v>
      </x:c>
      <x:c r="AP42" s="40" t="str">
        <x:v>✓</x:v>
      </x:c>
      <x:c r="AQ42" s="40" t="str">
        <x:v>×</x:v>
      </x:c>
      <x:c r="AR42" s="40" t="str">
        <x:v>✓</x:v>
      </x:c>
      <x:c r="AS42" s="40" t="str">
        <x:v>×</x:v>
      </x:c>
      <x:c r="AT42" s="40" t="str">
        <x:v>×</x:v>
      </x:c>
      <x:c r="AU42" s="40" t="str">
        <x:v>×</x:v>
      </x:c>
      <x:c r="AV42" s="40" t="str">
        <x:v>✓</x:v>
      </x:c>
      <x:c r="AW42" s="40" t="str">
        <x:v>✓</x:v>
      </x:c>
      <x:c r="AX42" s="40" t="str">
        <x:v>✓</x:v>
      </x:c>
      <x:c r="AY42" s="40" t="str">
        <x:v>✓</x:v>
      </x:c>
      <x:c r="AZ42" s="40" t="str">
        <x:v>✓</x:v>
      </x:c>
      <x:c r="BA42" s="40" t="str">
        <x:v>×</x:v>
      </x:c>
      <x:c r="BB42" s="41" t="str">
        <x:v>×</x:v>
      </x:c>
    </x:row>
    <x:row r="43">
      <x:c r="A43" s="37" t="str">
        <x:v>ipsl_cm6a_lr</x:v>
      </x:c>
      <x:c r="B43" s="38" t="n">
        <x:f>COUNTIF(D43:BB43,"&lt;&gt;×")</x:f>
        <x:v>40</x:v>
      </x:c>
      <x:c r="C43" s="39" t="n">
        <x:f>B43/51</x:f>
        <x:v>0.7843137254901961</x:v>
      </x:c>
      <x:c r="D43" s="40" t="str">
        <x:v>✓</x:v>
      </x:c>
      <x:c r="E43" s="40" t="str">
        <x:v>×</x:v>
      </x:c>
      <x:c r="F43" s="40" t="str">
        <x:v>✓</x:v>
      </x:c>
      <x:c r="G43" s="40" t="str">
        <x:v>✓</x:v>
      </x:c>
      <x:c r="H43" s="40" t="str">
        <x:v>✓</x:v>
      </x:c>
      <x:c r="I43" s="40" t="str">
        <x:v>✓</x:v>
      </x:c>
      <x:c r="J43" s="40" t="str">
        <x:v>×</x:v>
      </x:c>
      <x:c r="K43" s="40" t="str">
        <x:v>✓</x:v>
      </x:c>
      <x:c r="L43" s="40" t="str">
        <x:v>✓</x:v>
      </x:c>
      <x:c r="M43" s="40" t="str">
        <x:v>×</x:v>
      </x:c>
      <x:c r="N43" s="40" t="str">
        <x:v>×</x:v>
      </x:c>
      <x:c r="O43" s="40" t="str">
        <x:v>×</x:v>
      </x:c>
      <x:c r="P43" s="40" t="str">
        <x:v>✓</x:v>
      </x:c>
      <x:c r="Q43" s="40" t="str">
        <x:v>✓</x:v>
      </x:c>
      <x:c r="R43" s="40" t="str">
        <x:v>✓</x:v>
      </x:c>
      <x:c r="S43" s="40" t="str">
        <x:v>✓</x:v>
      </x:c>
      <x:c r="T43" s="40" t="str">
        <x:v>✓</x:v>
      </x:c>
      <x:c r="U43" s="40" t="str">
        <x:v>✓</x:v>
      </x:c>
      <x:c r="V43" s="40" t="str">
        <x:v>×</x:v>
      </x:c>
      <x:c r="W43" s="40" t="str">
        <x:v>✓</x:v>
      </x:c>
      <x:c r="X43" s="40" t="str">
        <x:v>✓</x:v>
      </x:c>
      <x:c r="Y43" s="40" t="str">
        <x:v>×</x:v>
      </x:c>
      <x:c r="Z43" s="40" t="str">
        <x:v>×</x:v>
      </x:c>
      <x:c r="AA43" s="40" t="str">
        <x:v>✓</x:v>
      </x:c>
      <x:c r="AB43" s="40" t="str">
        <x:v>×</x:v>
      </x:c>
      <x:c r="AC43" s="40" t="str">
        <x:v>✓</x:v>
      </x:c>
      <x:c r="AD43" s="40" t="str">
        <x:v>×</x:v>
      </x:c>
      <x:c r="AE43" s="40" t="str">
        <x:v>✓</x:v>
      </x:c>
      <x:c r="AF43" s="40" t="str">
        <x:v>✓</x:v>
      </x:c>
      <x:c r="AG43" s="40" t="str">
        <x:v>✓</x:v>
      </x:c>
      <x:c r="AH43" s="40" t="str">
        <x:v>✓</x:v>
      </x:c>
      <x:c r="AI43" s="40" t="str">
        <x:v>✓</x:v>
      </x:c>
      <x:c r="AJ43" s="40" t="str">
        <x:v>✓</x:v>
      </x:c>
      <x:c r="AK43" s="40" t="str">
        <x:v>✓</x:v>
      </x:c>
      <x:c r="AL43" s="40" t="str">
        <x:v>×</x:v>
      </x:c>
      <x:c r="AM43" s="40" t="str">
        <x:v>✓</x:v>
      </x:c>
      <x:c r="AN43" s="40" t="str">
        <x:v>✓</x:v>
      </x:c>
      <x:c r="AO43" s="40" t="str">
        <x:v>✓</x:v>
      </x:c>
      <x:c r="AP43" s="40" t="str">
        <x:v>✓</x:v>
      </x:c>
      <x:c r="AQ43" s="40" t="str">
        <x:v>✓</x:v>
      </x:c>
      <x:c r="AR43" s="40" t="str">
        <x:v>✓</x:v>
      </x:c>
      <x:c r="AS43" s="40" t="str">
        <x:v>✓</x:v>
      </x:c>
      <x:c r="AT43" s="40" t="str">
        <x:v>✓</x:v>
      </x:c>
      <x:c r="AU43" s="40" t="str">
        <x:v>✓</x:v>
      </x:c>
      <x:c r="AV43" s="40" t="str">
        <x:v>✓</x:v>
      </x:c>
      <x:c r="AW43" s="40" t="str">
        <x:v>✓</x:v>
      </x:c>
      <x:c r="AX43" s="40" t="str">
        <x:v>✓</x:v>
      </x:c>
      <x:c r="AY43" s="40" t="str">
        <x:v>✓</x:v>
      </x:c>
      <x:c r="AZ43" s="40" t="str">
        <x:v>✓</x:v>
      </x:c>
      <x:c r="BA43" s="40" t="str">
        <x:v>✓</x:v>
      </x:c>
      <x:c r="BB43" s="41" t="str">
        <x:v>✓</x:v>
      </x:c>
    </x:row>
    <x:row r="44">
      <x:c r="A44" s="37" t="str">
        <x:v>kace_1_0_g</x:v>
      </x:c>
      <x:c r="B44" s="38" t="n">
        <x:f>COUNTIF(D44:BB44,"&lt;&gt;×")</x:f>
        <x:v>32</x:v>
      </x:c>
      <x:c r="C44" s="39" t="n">
        <x:f>B44/51</x:f>
        <x:v>0.6274509803921569</x:v>
      </x:c>
      <x:c r="D44" s="40" t="str">
        <x:v>✓</x:v>
      </x:c>
      <x:c r="E44" s="40" t="str">
        <x:v>×</x:v>
      </x:c>
      <x:c r="F44" s="40" t="str">
        <x:v>✓</x:v>
      </x:c>
      <x:c r="G44" s="40" t="str">
        <x:v>✓</x:v>
      </x:c>
      <x:c r="H44" s="40" t="str">
        <x:v>✓</x:v>
      </x:c>
      <x:c r="I44" s="40" t="str">
        <x:v>✓</x:v>
      </x:c>
      <x:c r="J44" s="40" t="str">
        <x:v>✓</x:v>
      </x:c>
      <x:c r="K44" s="40" t="str">
        <x:v>✓</x:v>
      </x:c>
      <x:c r="L44" s="40" t="str">
        <x:v>×</x:v>
      </x:c>
      <x:c r="M44" s="40" t="str">
        <x:v>×</x:v>
      </x:c>
      <x:c r="N44" s="40" t="str">
        <x:v>×</x:v>
      </x:c>
      <x:c r="O44" s="40" t="str">
        <x:v>✓</x:v>
      </x:c>
      <x:c r="P44" s="40" t="str">
        <x:v>✓</x:v>
      </x:c>
      <x:c r="Q44" s="40" t="str">
        <x:v>×</x:v>
      </x:c>
      <x:c r="R44" s="40" t="str">
        <x:v>✓</x:v>
      </x:c>
      <x:c r="S44" s="40" t="str">
        <x:v>✓</x:v>
      </x:c>
      <x:c r="T44" s="40" t="str">
        <x:v>✓</x:v>
      </x:c>
      <x:c r="U44" s="40" t="str">
        <x:v>✓</x:v>
      </x:c>
      <x:c r="V44" s="40" t="str">
        <x:v>×</x:v>
      </x:c>
      <x:c r="W44" s="40" t="str">
        <x:v>✓</x:v>
      </x:c>
      <x:c r="X44" s="40" t="str">
        <x:v>✓</x:v>
      </x:c>
      <x:c r="Y44" s="40" t="str">
        <x:v>×</x:v>
      </x:c>
      <x:c r="Z44" s="40" t="str">
        <x:v>×</x:v>
      </x:c>
      <x:c r="AA44" s="40" t="str">
        <x:v>×</x:v>
      </x:c>
      <x:c r="AB44" s="40" t="str">
        <x:v>×</x:v>
      </x:c>
      <x:c r="AC44" s="40" t="str">
        <x:v>×</x:v>
      </x:c>
      <x:c r="AD44" s="40" t="str">
        <x:v>✓</x:v>
      </x:c>
      <x:c r="AE44" s="40" t="str">
        <x:v>×</x:v>
      </x:c>
      <x:c r="AF44" s="40" t="str">
        <x:v>×</x:v>
      </x:c>
      <x:c r="AG44" s="40" t="str">
        <x:v>×</x:v>
      </x:c>
      <x:c r="AH44" s="40" t="str">
        <x:v>×</x:v>
      </x:c>
      <x:c r="AI44" s="40" t="str">
        <x:v>✓</x:v>
      </x:c>
      <x:c r="AJ44" s="40" t="str">
        <x:v>✓</x:v>
      </x:c>
      <x:c r="AK44" s="40" t="str">
        <x:v>✓</x:v>
      </x:c>
      <x:c r="AL44" s="40" t="str">
        <x:v>×</x:v>
      </x:c>
      <x:c r="AM44" s="40" t="str">
        <x:v>✓</x:v>
      </x:c>
      <x:c r="AN44" s="40" t="str">
        <x:v>✓</x:v>
      </x:c>
      <x:c r="AO44" s="40" t="str">
        <x:v>✓</x:v>
      </x:c>
      <x:c r="AP44" s="40" t="str">
        <x:v>✓</x:v>
      </x:c>
      <x:c r="AQ44" s="40" t="str">
        <x:v>×</x:v>
      </x:c>
      <x:c r="AR44" s="40" t="str">
        <x:v>✓</x:v>
      </x:c>
      <x:c r="AS44" s="40" t="str">
        <x:v>×</x:v>
      </x:c>
      <x:c r="AT44" s="40" t="str">
        <x:v>✓</x:v>
      </x:c>
      <x:c r="AU44" s="40" t="str">
        <x:v>✓</x:v>
      </x:c>
      <x:c r="AV44" s="40" t="str">
        <x:v>✓</x:v>
      </x:c>
      <x:c r="AW44" s="40" t="str">
        <x:v>×</x:v>
      </x:c>
      <x:c r="AX44" s="40" t="str">
        <x:v>✓</x:v>
      </x:c>
      <x:c r="AY44" s="40" t="str">
        <x:v>✓</x:v>
      </x:c>
      <x:c r="AZ44" s="40" t="str">
        <x:v>✓</x:v>
      </x:c>
      <x:c r="BA44" s="40" t="str">
        <x:v>✓</x:v>
      </x:c>
      <x:c r="BB44" s="41" t="str">
        <x:v>✓</x:v>
      </x:c>
    </x:row>
    <x:row r="45">
      <x:c r="A45" s="37" t="str">
        <x:v>kiost_esm</x:v>
      </x:c>
      <x:c r="B45" s="38" t="n">
        <x:f>COUNTIF(D45:BB45,"&lt;&gt;×")</x:f>
        <x:v>40</x:v>
      </x:c>
      <x:c r="C45" s="39" t="n">
        <x:f>B45/51</x:f>
        <x:v>0.7843137254901961</x:v>
      </x:c>
      <x:c r="D45" s="40" t="str">
        <x:v>✓</x:v>
      </x:c>
      <x:c r="E45" s="40" t="str">
        <x:v>×</x:v>
      </x:c>
      <x:c r="F45" s="40" t="str">
        <x:v>✓</x:v>
      </x:c>
      <x:c r="G45" s="40" t="str">
        <x:v>✓</x:v>
      </x:c>
      <x:c r="H45" s="40" t="str">
        <x:v>✓</x:v>
      </x:c>
      <x:c r="I45" s="40" t="str">
        <x:v>✓</x:v>
      </x:c>
      <x:c r="J45" s="40" t="str">
        <x:v>×</x:v>
      </x:c>
      <x:c r="K45" s="40" t="str">
        <x:v>✓</x:v>
      </x:c>
      <x:c r="L45" s="40" t="str">
        <x:v>×</x:v>
      </x:c>
      <x:c r="M45" s="40" t="str">
        <x:v>✓</x:v>
      </x:c>
      <x:c r="N45" s="40" t="str">
        <x:v>×</x:v>
      </x:c>
      <x:c r="O45" s="40" t="str">
        <x:v>×</x:v>
      </x:c>
      <x:c r="P45" s="40" t="str">
        <x:v>✓</x:v>
      </x:c>
      <x:c r="Q45" s="40" t="str">
        <x:v>×</x:v>
      </x:c>
      <x:c r="R45" s="40" t="str">
        <x:v>✓</x:v>
      </x:c>
      <x:c r="S45" s="40" t="str">
        <x:v>✓</x:v>
      </x:c>
      <x:c r="T45" s="40" t="str">
        <x:v>✓</x:v>
      </x:c>
      <x:c r="U45" s="40" t="str">
        <x:v>✓</x:v>
      </x:c>
      <x:c r="V45" s="40" t="str">
        <x:v>×</x:v>
      </x:c>
      <x:c r="W45" s="40" t="str">
        <x:v>✓</x:v>
      </x:c>
      <x:c r="X45" s="40" t="str">
        <x:v>✓</x:v>
      </x:c>
      <x:c r="Y45" s="40" t="str">
        <x:v>×</x:v>
      </x:c>
      <x:c r="Z45" s="40" t="str">
        <x:v>✓</x:v>
      </x:c>
      <x:c r="AA45" s="40" t="str">
        <x:v>✓</x:v>
      </x:c>
      <x:c r="AB45" s="40" t="str">
        <x:v>✓</x:v>
      </x:c>
      <x:c r="AC45" s="40" t="str">
        <x:v>✓</x:v>
      </x:c>
      <x:c r="AD45" s="40" t="str">
        <x:v>✓</x:v>
      </x:c>
      <x:c r="AE45" s="40" t="str">
        <x:v>✓</x:v>
      </x:c>
      <x:c r="AF45" s="40" t="str">
        <x:v>✓</x:v>
      </x:c>
      <x:c r="AG45" s="40" t="str">
        <x:v>✓</x:v>
      </x:c>
      <x:c r="AH45" s="40" t="str">
        <x:v>✓</x:v>
      </x:c>
      <x:c r="AI45" s="40" t="str">
        <x:v>×</x:v>
      </x:c>
      <x:c r="AJ45" s="40" t="str">
        <x:v>✓</x:v>
      </x:c>
      <x:c r="AK45" s="40" t="str">
        <x:v>✓</x:v>
      </x:c>
      <x:c r="AL45" s="40" t="str">
        <x:v>×</x:v>
      </x:c>
      <x:c r="AM45" s="40" t="str">
        <x:v>✓</x:v>
      </x:c>
      <x:c r="AN45" s="40" t="str">
        <x:v>✓</x:v>
      </x:c>
      <x:c r="AO45" s="40" t="str">
        <x:v>✓</x:v>
      </x:c>
      <x:c r="AP45" s="40" t="str">
        <x:v>✓</x:v>
      </x:c>
      <x:c r="AQ45" s="40" t="str">
        <x:v>✓</x:v>
      </x:c>
      <x:c r="AR45" s="40" t="str">
        <x:v>✓</x:v>
      </x:c>
      <x:c r="AS45" s="40" t="str">
        <x:v>✓</x:v>
      </x:c>
      <x:c r="AT45" s="40" t="str">
        <x:v>×</x:v>
      </x:c>
      <x:c r="AU45" s="40" t="str">
        <x:v>✓</x:v>
      </x:c>
      <x:c r="AV45" s="40" t="str">
        <x:v>✓</x:v>
      </x:c>
      <x:c r="AW45" s="40" t="str">
        <x:v>✓</x:v>
      </x:c>
      <x:c r="AX45" s="40" t="str">
        <x:v>✓</x:v>
      </x:c>
      <x:c r="AY45" s="40" t="str">
        <x:v>✓</x:v>
      </x:c>
      <x:c r="AZ45" s="40" t="str">
        <x:v>✓</x:v>
      </x:c>
      <x:c r="BA45" s="40" t="str">
        <x:v>✓</x:v>
      </x:c>
      <x:c r="BB45" s="41" t="str">
        <x:v>✓</x:v>
      </x:c>
    </x:row>
    <x:row r="46">
      <x:c r="A46" s="37" t="str">
        <x:v>mcm_ua_1_0</x:v>
      </x:c>
      <x:c r="B46" s="38" t="n">
        <x:f>COUNTIF(D46:BB46,"&lt;&gt;×")</x:f>
        <x:v>28</x:v>
      </x:c>
      <x:c r="C46" s="39" t="n">
        <x:f>B46/51</x:f>
        <x:v>0.5490196078431373</x:v>
      </x:c>
      <x:c r="D46" s="40" t="str">
        <x:v>✓</x:v>
      </x:c>
      <x:c r="E46" s="40" t="str">
        <x:v>×</x:v>
      </x:c>
      <x:c r="F46" s="40" t="str">
        <x:v>×</x:v>
      </x:c>
      <x:c r="G46" s="40" t="str">
        <x:v>×</x:v>
      </x:c>
      <x:c r="H46" s="40" t="str">
        <x:v>✓</x:v>
      </x:c>
      <x:c r="I46" s="40" t="str">
        <x:v>✓</x:v>
      </x:c>
      <x:c r="J46" s="40" t="str">
        <x:v>✓</x:v>
      </x:c>
      <x:c r="K46" s="40" t="str">
        <x:v>✓</x:v>
      </x:c>
      <x:c r="L46" s="40" t="str">
        <x:v>✓</x:v>
      </x:c>
      <x:c r="M46" s="40" t="str">
        <x:v>✓</x:v>
      </x:c>
      <x:c r="N46" s="40" t="str">
        <x:v>×</x:v>
      </x:c>
      <x:c r="O46" s="40" t="str">
        <x:v>×</x:v>
      </x:c>
      <x:c r="P46" s="40" t="str">
        <x:v>✓</x:v>
      </x:c>
      <x:c r="Q46" s="40" t="str">
        <x:v>×</x:v>
      </x:c>
      <x:c r="R46" s="40" t="str">
        <x:v>✓</x:v>
      </x:c>
      <x:c r="S46" s="40" t="str">
        <x:v>×</x:v>
      </x:c>
      <x:c r="T46" s="40" t="str">
        <x:v>✓</x:v>
      </x:c>
      <x:c r="U46" s="40" t="str">
        <x:v>✓</x:v>
      </x:c>
      <x:c r="V46" s="40" t="str">
        <x:v>×</x:v>
      </x:c>
      <x:c r="W46" s="40" t="str">
        <x:v>✓</x:v>
      </x:c>
      <x:c r="X46" s="40" t="str">
        <x:v>×</x:v>
      </x:c>
      <x:c r="Y46" s="40" t="str">
        <x:v>×</x:v>
      </x:c>
      <x:c r="Z46" s="40" t="str">
        <x:v>✓</x:v>
      </x:c>
      <x:c r="AA46" s="40" t="str">
        <x:v>×</x:v>
      </x:c>
      <x:c r="AB46" s="40" t="str">
        <x:v>×</x:v>
      </x:c>
      <x:c r="AC46" s="40" t="str">
        <x:v>✓</x:v>
      </x:c>
      <x:c r="AD46" s="40" t="str">
        <x:v>✓</x:v>
      </x:c>
      <x:c r="AE46" s="40" t="str">
        <x:v>×</x:v>
      </x:c>
      <x:c r="AF46" s="40" t="str">
        <x:v>✓</x:v>
      </x:c>
      <x:c r="AG46" s="40" t="str">
        <x:v>✓</x:v>
      </x:c>
      <x:c r="AH46" s="40" t="str">
        <x:v>×</x:v>
      </x:c>
      <x:c r="AI46" s="40" t="str">
        <x:v>✓</x:v>
      </x:c>
      <x:c r="AJ46" s="40" t="str">
        <x:v>✓</x:v>
      </x:c>
      <x:c r="AK46" s="40" t="str">
        <x:v>✓</x:v>
      </x:c>
      <x:c r="AL46" s="40" t="str">
        <x:v>✓</x:v>
      </x:c>
      <x:c r="AM46" s="40" t="str">
        <x:v>✓</x:v>
      </x:c>
      <x:c r="AN46" s="40" t="str">
        <x:v>✓</x:v>
      </x:c>
      <x:c r="AO46" s="40" t="str">
        <x:v>×</x:v>
      </x:c>
      <x:c r="AP46" s="40" t="str">
        <x:v>×</x:v>
      </x:c>
      <x:c r="AQ46" s="40" t="str">
        <x:v>×</x:v>
      </x:c>
      <x:c r="AR46" s="40" t="str">
        <x:v>✓</x:v>
      </x:c>
      <x:c r="AS46" s="40" t="str">
        <x:v>×</x:v>
      </x:c>
      <x:c r="AT46" s="40" t="str">
        <x:v>✓</x:v>
      </x:c>
      <x:c r="AU46" s="40" t="str">
        <x:v>✓</x:v>
      </x:c>
      <x:c r="AV46" s="40" t="str">
        <x:v>×</x:v>
      </x:c>
      <x:c r="AW46" s="40" t="str">
        <x:v>×</x:v>
      </x:c>
      <x:c r="AX46" s="40" t="str">
        <x:v>×</x:v>
      </x:c>
      <x:c r="AY46" s="40" t="str">
        <x:v>✓</x:v>
      </x:c>
      <x:c r="AZ46" s="40" t="str">
        <x:v>×</x:v>
      </x:c>
      <x:c r="BA46" s="40" t="str">
        <x:v>×</x:v>
      </x:c>
      <x:c r="BB46" s="41" t="str">
        <x:v>✓</x:v>
      </x:c>
    </x:row>
    <x:row r="47">
      <x:c r="A47" s="37" t="str">
        <x:v>miroc6</x:v>
      </x:c>
      <x:c r="B47" s="38" t="n">
        <x:f>COUNTIF(D47:BB47,"&lt;&gt;×")</x:f>
        <x:v>47</x:v>
      </x:c>
      <x:c r="C47" s="39" t="n">
        <x:f>B47/51</x:f>
        <x:v>0.9215686274509803</x:v>
      </x:c>
      <x:c r="D47" s="40" t="str">
        <x:v>✓</x:v>
      </x:c>
      <x:c r="E47" s="40" t="str">
        <x:v>×</x:v>
      </x:c>
      <x:c r="F47" s="40" t="str">
        <x:v>✓</x:v>
      </x:c>
      <x:c r="G47" s="40" t="str">
        <x:v>✓</x:v>
      </x:c>
      <x:c r="H47" s="40" t="str">
        <x:v>✓</x:v>
      </x:c>
      <x:c r="I47" s="40" t="str">
        <x:v>✓</x:v>
      </x:c>
      <x:c r="J47" s="40" t="str">
        <x:v>✓</x:v>
      </x:c>
      <x:c r="K47" s="40" t="str">
        <x:v>✓</x:v>
      </x:c>
      <x:c r="L47" s="40" t="str">
        <x:v>✓</x:v>
      </x:c>
      <x:c r="M47" s="40" t="str">
        <x:v>✓</x:v>
      </x:c>
      <x:c r="N47" s="40" t="str">
        <x:v>×</x:v>
      </x:c>
      <x:c r="O47" s="40" t="str">
        <x:v>✓</x:v>
      </x:c>
      <x:c r="P47" s="40" t="str">
        <x:v>✓</x:v>
      </x:c>
      <x:c r="Q47" s="40" t="str">
        <x:v>×</x:v>
      </x:c>
      <x:c r="R47" s="40" t="str">
        <x:v>✓</x:v>
      </x:c>
      <x:c r="S47" s="40" t="str">
        <x:v>✓</x:v>
      </x:c>
      <x:c r="T47" s="40" t="str">
        <x:v>✓</x:v>
      </x:c>
      <x:c r="U47" s="40" t="str">
        <x:v>✓</x:v>
      </x:c>
      <x:c r="V47" s="40" t="str">
        <x:v>✓</x:v>
      </x:c>
      <x:c r="W47" s="40" t="str">
        <x:v>✓</x:v>
      </x:c>
      <x:c r="X47" s="40" t="str">
        <x:v>×</x:v>
      </x:c>
      <x:c r="Y47" s="40" t="str">
        <x:v>✓</x:v>
      </x:c>
      <x:c r="Z47" s="40" t="str">
        <x:v>✓</x:v>
      </x:c>
      <x:c r="AA47" s="40" t="str">
        <x:v>✓</x:v>
      </x:c>
      <x:c r="AB47" s="40" t="str">
        <x:v>✓</x:v>
      </x:c>
      <x:c r="AC47" s="40" t="str">
        <x:v>✓</x:v>
      </x:c>
      <x:c r="AD47" s="40" t="str">
        <x:v>✓</x:v>
      </x:c>
      <x:c r="AE47" s="40" t="str">
        <x:v>✓</x:v>
      </x:c>
      <x:c r="AF47" s="40" t="str">
        <x:v>✓</x:v>
      </x:c>
      <x:c r="AG47" s="40" t="str">
        <x:v>✓</x:v>
      </x:c>
      <x:c r="AH47" s="40" t="str">
        <x:v>✓</x:v>
      </x:c>
      <x:c r="AI47" s="40" t="str">
        <x:v>✓</x:v>
      </x:c>
      <x:c r="AJ47" s="40" t="str">
        <x:v>✓</x:v>
      </x:c>
      <x:c r="AK47" s="40" t="str">
        <x:v>✓</x:v>
      </x:c>
      <x:c r="AL47" s="40" t="str">
        <x:v>✓</x:v>
      </x:c>
      <x:c r="AM47" s="40" t="str">
        <x:v>✓</x:v>
      </x:c>
      <x:c r="AN47" s="40" t="str">
        <x:v>✓</x:v>
      </x:c>
      <x:c r="AO47" s="40" t="str">
        <x:v>✓</x:v>
      </x:c>
      <x:c r="AP47" s="40" t="str">
        <x:v>✓</x:v>
      </x:c>
      <x:c r="AQ47" s="40" t="str">
        <x:v>✓</x:v>
      </x:c>
      <x:c r="AR47" s="40" t="str">
        <x:v>✓</x:v>
      </x:c>
      <x:c r="AS47" s="40" t="str">
        <x:v>✓</x:v>
      </x:c>
      <x:c r="AT47" s="40" t="str">
        <x:v>✓</x:v>
      </x:c>
      <x:c r="AU47" s="40" t="str">
        <x:v>✓</x:v>
      </x:c>
      <x:c r="AV47" s="40" t="str">
        <x:v>✓</x:v>
      </x:c>
      <x:c r="AW47" s="40" t="str">
        <x:v>✓</x:v>
      </x:c>
      <x:c r="AX47" s="40" t="str">
        <x:v>✓</x:v>
      </x:c>
      <x:c r="AY47" s="40" t="str">
        <x:v>✓</x:v>
      </x:c>
      <x:c r="AZ47" s="40" t="str">
        <x:v>✓</x:v>
      </x:c>
      <x:c r="BA47" s="40" t="str">
        <x:v>✓</x:v>
      </x:c>
      <x:c r="BB47" s="41" t="str">
        <x:v>✓</x:v>
      </x:c>
    </x:row>
    <x:row r="48">
      <x:c r="A48" s="37" t="str">
        <x:v>miroc_es2h</x:v>
      </x:c>
      <x:c r="B48" s="38" t="n">
        <x:f>COUNTIF(D48:BB48,"&lt;&gt;×")</x:f>
        <x:v>32</x:v>
      </x:c>
      <x:c r="C48" s="39" t="n">
        <x:f>B48/51</x:f>
        <x:v>0.6274509803921569</x:v>
      </x:c>
      <x:c r="D48" s="40" t="str">
        <x:v>✓</x:v>
      </x:c>
      <x:c r="E48" s="40" t="str">
        <x:v>×</x:v>
      </x:c>
      <x:c r="F48" s="40" t="str">
        <x:v>✓</x:v>
      </x:c>
      <x:c r="G48" s="40" t="str">
        <x:v>✓</x:v>
      </x:c>
      <x:c r="H48" s="40" t="str">
        <x:v>✓</x:v>
      </x:c>
      <x:c r="I48" s="40" t="str">
        <x:v>✓</x:v>
      </x:c>
      <x:c r="J48" s="40" t="str">
        <x:v>✓</x:v>
      </x:c>
      <x:c r="K48" s="40" t="str">
        <x:v>✓</x:v>
      </x:c>
      <x:c r="L48" s="40" t="str">
        <x:v>×</x:v>
      </x:c>
      <x:c r="M48" s="40" t="str">
        <x:v>×</x:v>
      </x:c>
      <x:c r="N48" s="40" t="str">
        <x:v>×</x:v>
      </x:c>
      <x:c r="O48" s="40" t="str">
        <x:v>×</x:v>
      </x:c>
      <x:c r="P48" s="40" t="str">
        <x:v>✓</x:v>
      </x:c>
      <x:c r="Q48" s="40" t="str">
        <x:v>✓</x:v>
      </x:c>
      <x:c r="R48" s="40" t="str">
        <x:v>✓</x:v>
      </x:c>
      <x:c r="S48" s="40" t="str">
        <x:v>✓</x:v>
      </x:c>
      <x:c r="T48" s="40" t="str">
        <x:v>✓</x:v>
      </x:c>
      <x:c r="U48" s="40" t="str">
        <x:v>✓</x:v>
      </x:c>
      <x:c r="V48" s="40" t="str">
        <x:v>×</x:v>
      </x:c>
      <x:c r="W48" s="40" t="str">
        <x:v>✓</x:v>
      </x:c>
      <x:c r="X48" s="40" t="str">
        <x:v>✓</x:v>
      </x:c>
      <x:c r="Y48" s="40" t="str">
        <x:v>×</x:v>
      </x:c>
      <x:c r="Z48" s="40" t="str">
        <x:v>×</x:v>
      </x:c>
      <x:c r="AA48" s="40" t="str">
        <x:v>×</x:v>
      </x:c>
      <x:c r="AB48" s="40" t="str">
        <x:v>×</x:v>
      </x:c>
      <x:c r="AC48" s="40" t="str">
        <x:v>×</x:v>
      </x:c>
      <x:c r="AD48" s="40" t="str">
        <x:v>✓</x:v>
      </x:c>
      <x:c r="AE48" s="40" t="str">
        <x:v>×</x:v>
      </x:c>
      <x:c r="AF48" s="40" t="str">
        <x:v>×</x:v>
      </x:c>
      <x:c r="AG48" s="40" t="str">
        <x:v>×</x:v>
      </x:c>
      <x:c r="AH48" s="40" t="str">
        <x:v>×</x:v>
      </x:c>
      <x:c r="AI48" s="40" t="str">
        <x:v>✓</x:v>
      </x:c>
      <x:c r="AJ48" s="40" t="str">
        <x:v>✓</x:v>
      </x:c>
      <x:c r="AK48" s="40" t="str">
        <x:v>✓</x:v>
      </x:c>
      <x:c r="AL48" s="40" t="str">
        <x:v>×</x:v>
      </x:c>
      <x:c r="AM48" s="40" t="str">
        <x:v>✓</x:v>
      </x:c>
      <x:c r="AN48" s="40" t="str">
        <x:v>✓</x:v>
      </x:c>
      <x:c r="AO48" s="40" t="str">
        <x:v>✓</x:v>
      </x:c>
      <x:c r="AP48" s="40" t="str">
        <x:v>✓</x:v>
      </x:c>
      <x:c r="AQ48" s="40" t="str">
        <x:v>×</x:v>
      </x:c>
      <x:c r="AR48" s="40" t="str">
        <x:v>✓</x:v>
      </x:c>
      <x:c r="AS48" s="40" t="str">
        <x:v>×</x:v>
      </x:c>
      <x:c r="AT48" s="40" t="str">
        <x:v>✓</x:v>
      </x:c>
      <x:c r="AU48" s="40" t="str">
        <x:v>✓</x:v>
      </x:c>
      <x:c r="AV48" s="40" t="str">
        <x:v>✓</x:v>
      </x:c>
      <x:c r="AW48" s="40" t="str">
        <x:v>✓</x:v>
      </x:c>
      <x:c r="AX48" s="40" t="str">
        <x:v>✓</x:v>
      </x:c>
      <x:c r="AY48" s="40" t="str">
        <x:v>✓</x:v>
      </x:c>
      <x:c r="AZ48" s="40" t="str">
        <x:v>✓</x:v>
      </x:c>
      <x:c r="BA48" s="40" t="str">
        <x:v>✓</x:v>
      </x:c>
      <x:c r="BB48" s="41" t="str">
        <x:v>×</x:v>
      </x:c>
    </x:row>
    <x:row r="49">
      <x:c r="A49" s="37" t="str">
        <x:v>miroc_es2l</x:v>
      </x:c>
      <x:c r="B49" s="38" t="n">
        <x:f>COUNTIF(D49:BB49,"&lt;&gt;×")</x:f>
        <x:v>46</x:v>
      </x:c>
      <x:c r="C49" s="39" t="n">
        <x:f>B49/51</x:f>
        <x:v>0.9019607843137255</x:v>
      </x:c>
      <x:c r="D49" s="40" t="str">
        <x:v>✓</x:v>
      </x:c>
      <x:c r="E49" s="40" t="str">
        <x:v>×</x:v>
      </x:c>
      <x:c r="F49" s="40" t="str">
        <x:v>✓</x:v>
      </x:c>
      <x:c r="G49" s="40" t="str">
        <x:v>✓</x:v>
      </x:c>
      <x:c r="H49" s="40" t="str">
        <x:v>✓</x:v>
      </x:c>
      <x:c r="I49" s="40" t="str">
        <x:v>✓</x:v>
      </x:c>
      <x:c r="J49" s="40" t="str">
        <x:v>✓</x:v>
      </x:c>
      <x:c r="K49" s="40" t="str">
        <x:v>✓</x:v>
      </x:c>
      <x:c r="L49" s="40" t="str">
        <x:v>✓</x:v>
      </x:c>
      <x:c r="M49" s="40" t="str">
        <x:v>✓</x:v>
      </x:c>
      <x:c r="N49" s="40" t="str">
        <x:v>✓</x:v>
      </x:c>
      <x:c r="O49" s="40" t="str">
        <x:v>✓</x:v>
      </x:c>
      <x:c r="P49" s="40" t="str">
        <x:v>✓</x:v>
      </x:c>
      <x:c r="Q49" s="40" t="str">
        <x:v>×</x:v>
      </x:c>
      <x:c r="R49" s="40" t="str">
        <x:v>✓</x:v>
      </x:c>
      <x:c r="S49" s="40" t="str">
        <x:v>✓</x:v>
      </x:c>
      <x:c r="T49" s="40" t="str">
        <x:v>✓</x:v>
      </x:c>
      <x:c r="U49" s="40" t="str">
        <x:v>✓</x:v>
      </x:c>
      <x:c r="V49" s="40" t="str">
        <x:v>✓</x:v>
      </x:c>
      <x:c r="W49" s="40" t="str">
        <x:v>✓</x:v>
      </x:c>
      <x:c r="X49" s="40" t="str">
        <x:v>✓</x:v>
      </x:c>
      <x:c r="Y49" s="40" t="str">
        <x:v>✓</x:v>
      </x:c>
      <x:c r="Z49" s="40" t="str">
        <x:v>✓</x:v>
      </x:c>
      <x:c r="AA49" s="40" t="str">
        <x:v>✓</x:v>
      </x:c>
      <x:c r="AB49" s="40" t="str">
        <x:v>×</x:v>
      </x:c>
      <x:c r="AC49" s="40" t="str">
        <x:v>✓</x:v>
      </x:c>
      <x:c r="AD49" s="40" t="str">
        <x:v>✓</x:v>
      </x:c>
      <x:c r="AE49" s="40" t="str">
        <x:v>×</x:v>
      </x:c>
      <x:c r="AF49" s="40" t="str">
        <x:v>✓</x:v>
      </x:c>
      <x:c r="AG49" s="40" t="str">
        <x:v>✓</x:v>
      </x:c>
      <x:c r="AH49" s="40" t="str">
        <x:v>✓</x:v>
      </x:c>
      <x:c r="AI49" s="40" t="str">
        <x:v>✓</x:v>
      </x:c>
      <x:c r="AJ49" s="40" t="str">
        <x:v>✓</x:v>
      </x:c>
      <x:c r="AK49" s="40" t="str">
        <x:v>✓</x:v>
      </x:c>
      <x:c r="AL49" s="40" t="str">
        <x:v>✓</x:v>
      </x:c>
      <x:c r="AM49" s="40" t="str">
        <x:v>✓</x:v>
      </x:c>
      <x:c r="AN49" s="40" t="str">
        <x:v>✓</x:v>
      </x:c>
      <x:c r="AO49" s="40" t="str">
        <x:v>✓</x:v>
      </x:c>
      <x:c r="AP49" s="40" t="str">
        <x:v>✓</x:v>
      </x:c>
      <x:c r="AQ49" s="40" t="str">
        <x:v>✓</x:v>
      </x:c>
      <x:c r="AR49" s="40" t="str">
        <x:v>✓</x:v>
      </x:c>
      <x:c r="AS49" s="40" t="str">
        <x:v>×</x:v>
      </x:c>
      <x:c r="AT49" s="40" t="str">
        <x:v>✓</x:v>
      </x:c>
      <x:c r="AU49" s="40" t="str">
        <x:v>✓</x:v>
      </x:c>
      <x:c r="AV49" s="40" t="str">
        <x:v>✓</x:v>
      </x:c>
      <x:c r="AW49" s="40" t="str">
        <x:v>✓</x:v>
      </x:c>
      <x:c r="AX49" s="40" t="str">
        <x:v>✓</x:v>
      </x:c>
      <x:c r="AY49" s="40" t="str">
        <x:v>✓</x:v>
      </x:c>
      <x:c r="AZ49" s="40" t="str">
        <x:v>✓</x:v>
      </x:c>
      <x:c r="BA49" s="40" t="str">
        <x:v>✓</x:v>
      </x:c>
      <x:c r="BB49" s="41" t="str">
        <x:v>✓</x:v>
      </x:c>
    </x:row>
    <x:row r="50">
      <x:c r="A50" s="37" t="str">
        <x:v>mpi_esm1_2_hr</x:v>
      </x:c>
      <x:c r="B50" s="38" t="n">
        <x:f>COUNTIF(D50:BB50,"&lt;&gt;×")</x:f>
        <x:v>48</x:v>
      </x:c>
      <x:c r="C50" s="39" t="n">
        <x:f>B50/51</x:f>
        <x:v>0.9411764705882353</x:v>
      </x:c>
      <x:c r="D50" s="40" t="str">
        <x:v>✓</x:v>
      </x:c>
      <x:c r="E50" s="40" t="str">
        <x:v>✓</x:v>
      </x:c>
      <x:c r="F50" s="40" t="str">
        <x:v>✓</x:v>
      </x:c>
      <x:c r="G50" s="40" t="str">
        <x:v>✓</x:v>
      </x:c>
      <x:c r="H50" s="40" t="str">
        <x:v>✓</x:v>
      </x:c>
      <x:c r="I50" s="40" t="str">
        <x:v>✓</x:v>
      </x:c>
      <x:c r="J50" s="40" t="str">
        <x:v>✓</x:v>
      </x:c>
      <x:c r="K50" s="40" t="str">
        <x:v>✓</x:v>
      </x:c>
      <x:c r="L50" s="40" t="str">
        <x:v>✓</x:v>
      </x:c>
      <x:c r="M50" s="40" t="str">
        <x:v>✓</x:v>
      </x:c>
      <x:c r="N50" s="40" t="str">
        <x:v>✓</x:v>
      </x:c>
      <x:c r="O50" s="40" t="str">
        <x:v>✓</x:v>
      </x:c>
      <x:c r="P50" s="40" t="str">
        <x:v>✓</x:v>
      </x:c>
      <x:c r="Q50" s="40" t="str">
        <x:v>×</x:v>
      </x:c>
      <x:c r="R50" s="40" t="str">
        <x:v>✓</x:v>
      </x:c>
      <x:c r="S50" s="40" t="str">
        <x:v>✓</x:v>
      </x:c>
      <x:c r="T50" s="40" t="str">
        <x:v>✓</x:v>
      </x:c>
      <x:c r="U50" s="40" t="str">
        <x:v>✓</x:v>
      </x:c>
      <x:c r="V50" s="40" t="str">
        <x:v>✓</x:v>
      </x:c>
      <x:c r="W50" s="40" t="str">
        <x:v>✓</x:v>
      </x:c>
      <x:c r="X50" s="40" t="str">
        <x:v>✓</x:v>
      </x:c>
      <x:c r="Y50" s="40" t="str">
        <x:v>✓</x:v>
      </x:c>
      <x:c r="Z50" s="40" t="str">
        <x:v>✓</x:v>
      </x:c>
      <x:c r="AA50" s="40" t="str">
        <x:v>✓</x:v>
      </x:c>
      <x:c r="AB50" s="40" t="str">
        <x:v>✓</x:v>
      </x:c>
      <x:c r="AC50" s="40" t="str">
        <x:v>✓</x:v>
      </x:c>
      <x:c r="AD50" s="40" t="str">
        <x:v>✓</x:v>
      </x:c>
      <x:c r="AE50" s="40" t="str">
        <x:v>✓</x:v>
      </x:c>
      <x:c r="AF50" s="40" t="str">
        <x:v>×</x:v>
      </x:c>
      <x:c r="AG50" s="40" t="str">
        <x:v>✓</x:v>
      </x:c>
      <x:c r="AH50" s="40" t="str">
        <x:v>×</x:v>
      </x:c>
      <x:c r="AI50" s="40" t="str">
        <x:v>✓</x:v>
      </x:c>
      <x:c r="AJ50" s="40" t="str">
        <x:v>✓</x:v>
      </x:c>
      <x:c r="AK50" s="40" t="str">
        <x:v>✓</x:v>
      </x:c>
      <x:c r="AL50" s="40" t="str">
        <x:v>✓</x:v>
      </x:c>
      <x:c r="AM50" s="40" t="str">
        <x:v>✓</x:v>
      </x:c>
      <x:c r="AN50" s="40" t="str">
        <x:v>✓</x:v>
      </x:c>
      <x:c r="AO50" s="40" t="str">
        <x:v>✓</x:v>
      </x:c>
      <x:c r="AP50" s="40" t="str">
        <x:v>✓</x:v>
      </x:c>
      <x:c r="AQ50" s="40" t="str">
        <x:v>✓</x:v>
      </x:c>
      <x:c r="AR50" s="40" t="str">
        <x:v>✓</x:v>
      </x:c>
      <x:c r="AS50" s="40" t="str">
        <x:v>✓</x:v>
      </x:c>
      <x:c r="AT50" s="40" t="str">
        <x:v>✓</x:v>
      </x:c>
      <x:c r="AU50" s="40" t="str">
        <x:v>✓</x:v>
      </x:c>
      <x:c r="AV50" s="40" t="str">
        <x:v>✓</x:v>
      </x:c>
      <x:c r="AW50" s="40" t="str">
        <x:v>✓</x:v>
      </x:c>
      <x:c r="AX50" s="40" t="str">
        <x:v>✓</x:v>
      </x:c>
      <x:c r="AY50" s="40" t="str">
        <x:v>✓</x:v>
      </x:c>
      <x:c r="AZ50" s="40" t="str">
        <x:v>✓</x:v>
      </x:c>
      <x:c r="BA50" s="40" t="str">
        <x:v>✓</x:v>
      </x:c>
      <x:c r="BB50" s="41" t="str">
        <x:v>✓</x:v>
      </x:c>
    </x:row>
    <x:row r="51">
      <x:c r="A51" s="37" t="str">
        <x:v>mpi_esm1_2_lr</x:v>
      </x:c>
      <x:c r="B51" s="38" t="n">
        <x:f>COUNTIF(D51:BB51,"&lt;&gt;×")</x:f>
        <x:v>49</x:v>
      </x:c>
      <x:c r="C51" s="39" t="n">
        <x:f>B51/51</x:f>
        <x:v>0.9607843137254902</x:v>
      </x:c>
      <x:c r="D51" s="40" t="str">
        <x:v>✓</x:v>
      </x:c>
      <x:c r="E51" s="40" t="str">
        <x:v>✓</x:v>
      </x:c>
      <x:c r="F51" s="40" t="str">
        <x:v>✓</x:v>
      </x:c>
      <x:c r="G51" s="40" t="str">
        <x:v>✓</x:v>
      </x:c>
      <x:c r="H51" s="40" t="str">
        <x:v>✓</x:v>
      </x:c>
      <x:c r="I51" s="40" t="str">
        <x:v>✓</x:v>
      </x:c>
      <x:c r="J51" s="40" t="str">
        <x:v>✓</x:v>
      </x:c>
      <x:c r="K51" s="40" t="str">
        <x:v>✓</x:v>
      </x:c>
      <x:c r="L51" s="40" t="str">
        <x:v>✓</x:v>
      </x:c>
      <x:c r="M51" s="40" t="str">
        <x:v>✓</x:v>
      </x:c>
      <x:c r="N51" s="40" t="str">
        <x:v>✓</x:v>
      </x:c>
      <x:c r="O51" s="40" t="str">
        <x:v>✓</x:v>
      </x:c>
      <x:c r="P51" s="40" t="str">
        <x:v>✓</x:v>
      </x:c>
      <x:c r="Q51" s="40" t="str">
        <x:v>×</x:v>
      </x:c>
      <x:c r="R51" s="40" t="str">
        <x:v>✓</x:v>
      </x:c>
      <x:c r="S51" s="40" t="str">
        <x:v>✓</x:v>
      </x:c>
      <x:c r="T51" s="40" t="str">
        <x:v>✓</x:v>
      </x:c>
      <x:c r="U51" s="40" t="str">
        <x:v>✓</x:v>
      </x:c>
      <x:c r="V51" s="40" t="str">
        <x:v>✓</x:v>
      </x:c>
      <x:c r="W51" s="40" t="str">
        <x:v>✓</x:v>
      </x:c>
      <x:c r="X51" s="40" t="str">
        <x:v>✓</x:v>
      </x:c>
      <x:c r="Y51" s="40" t="str">
        <x:v>✓</x:v>
      </x:c>
      <x:c r="Z51" s="40" t="str">
        <x:v>✓</x:v>
      </x:c>
      <x:c r="AA51" s="40" t="str">
        <x:v>✓</x:v>
      </x:c>
      <x:c r="AB51" s="40" t="str">
        <x:v>✓</x:v>
      </x:c>
      <x:c r="AC51" s="40" t="str">
        <x:v>✓</x:v>
      </x:c>
      <x:c r="AD51" s="40" t="str">
        <x:v>✓</x:v>
      </x:c>
      <x:c r="AE51" s="40" t="str">
        <x:v>✓</x:v>
      </x:c>
      <x:c r="AF51" s="40" t="str">
        <x:v>✓</x:v>
      </x:c>
      <x:c r="AG51" s="40" t="str">
        <x:v>✓</x:v>
      </x:c>
      <x:c r="AH51" s="40" t="str">
        <x:v>×</x:v>
      </x:c>
      <x:c r="AI51" s="40" t="str">
        <x:v>✓</x:v>
      </x:c>
      <x:c r="AJ51" s="40" t="str">
        <x:v>✓</x:v>
      </x:c>
      <x:c r="AK51" s="40" t="str">
        <x:v>✓</x:v>
      </x:c>
      <x:c r="AL51" s="40" t="str">
        <x:v>✓</x:v>
      </x:c>
      <x:c r="AM51" s="40" t="str">
        <x:v>✓</x:v>
      </x:c>
      <x:c r="AN51" s="40" t="str">
        <x:v>✓</x:v>
      </x:c>
      <x:c r="AO51" s="40" t="str">
        <x:v>✓</x:v>
      </x:c>
      <x:c r="AP51" s="40" t="str">
        <x:v>✓</x:v>
      </x:c>
      <x:c r="AQ51" s="40" t="str">
        <x:v>✓</x:v>
      </x:c>
      <x:c r="AR51" s="40" t="str">
        <x:v>✓</x:v>
      </x:c>
      <x:c r="AS51" s="40" t="str">
        <x:v>✓</x:v>
      </x:c>
      <x:c r="AT51" s="40" t="str">
        <x:v>✓</x:v>
      </x:c>
      <x:c r="AU51" s="40" t="str">
        <x:v>✓</x:v>
      </x:c>
      <x:c r="AV51" s="40" t="str">
        <x:v>✓</x:v>
      </x:c>
      <x:c r="AW51" s="40" t="str">
        <x:v>✓</x:v>
      </x:c>
      <x:c r="AX51" s="40" t="str">
        <x:v>✓</x:v>
      </x:c>
      <x:c r="AY51" s="40" t="str">
        <x:v>✓</x:v>
      </x:c>
      <x:c r="AZ51" s="40" t="str">
        <x:v>✓</x:v>
      </x:c>
      <x:c r="BA51" s="40" t="str">
        <x:v>✓</x:v>
      </x:c>
      <x:c r="BB51" s="41" t="str">
        <x:v>✓</x:v>
      </x:c>
    </x:row>
    <x:row r="52">
      <x:c r="A52" s="37" t="str">
        <x:v>mpi_esm_1_2_ham</x:v>
      </x:c>
      <x:c r="B52" s="38" t="n">
        <x:f>COUNTIF(D52:BB52,"&lt;&gt;×")</x:f>
        <x:v>1</x:v>
      </x:c>
      <x:c r="C52" s="39" t="n">
        <x:f>B52/51</x:f>
        <x:v>0.0196078431372549</x:v>
      </x:c>
      <x:c r="D52" s="40" t="str">
        <x:v>×</x:v>
      </x:c>
      <x:c r="E52" s="40" t="str">
        <x:v>✓</x:v>
      </x:c>
      <x:c r="F52" s="40" t="str">
        <x:v>×</x:v>
      </x:c>
      <x:c r="G52" s="40" t="str">
        <x:v>×</x:v>
      </x:c>
      <x:c r="H52" s="40" t="str">
        <x:v>×</x:v>
      </x:c>
      <x:c r="I52" s="40" t="str">
        <x:v>×</x:v>
      </x:c>
      <x:c r="J52" s="40" t="str">
        <x:v>×</x:v>
      </x:c>
      <x:c r="K52" s="40" t="str">
        <x:v>×</x:v>
      </x:c>
      <x:c r="L52" s="40" t="str">
        <x:v>×</x:v>
      </x:c>
      <x:c r="M52" s="40" t="str">
        <x:v>×</x:v>
      </x:c>
      <x:c r="N52" s="40" t="str">
        <x:v>×</x:v>
      </x:c>
      <x:c r="O52" s="40" t="str">
        <x:v>×</x:v>
      </x:c>
      <x:c r="P52" s="40" t="str">
        <x:v>×</x:v>
      </x:c>
      <x:c r="Q52" s="40" t="str">
        <x:v>×</x:v>
      </x:c>
      <x:c r="R52" s="40" t="str">
        <x:v>×</x:v>
      </x:c>
      <x:c r="S52" s="40" t="str">
        <x:v>×</x:v>
      </x:c>
      <x:c r="T52" s="40" t="str">
        <x:v>×</x:v>
      </x:c>
      <x:c r="U52" s="40" t="str">
        <x:v>×</x:v>
      </x:c>
      <x:c r="V52" s="40" t="str">
        <x:v>×</x:v>
      </x:c>
      <x:c r="W52" s="40" t="str">
        <x:v>×</x:v>
      </x:c>
      <x:c r="X52" s="40" t="str">
        <x:v>×</x:v>
      </x:c>
      <x:c r="Y52" s="40" t="str">
        <x:v>×</x:v>
      </x:c>
      <x:c r="Z52" s="40" t="str">
        <x:v>×</x:v>
      </x:c>
      <x:c r="AA52" s="40" t="str">
        <x:v>×</x:v>
      </x:c>
      <x:c r="AB52" s="40" t="str">
        <x:v>×</x:v>
      </x:c>
      <x:c r="AC52" s="40" t="str">
        <x:v>×</x:v>
      </x:c>
      <x:c r="AD52" s="40" t="str">
        <x:v>×</x:v>
      </x:c>
      <x:c r="AE52" s="40" t="str">
        <x:v>×</x:v>
      </x:c>
      <x:c r="AF52" s="40" t="str">
        <x:v>×</x:v>
      </x:c>
      <x:c r="AG52" s="40" t="str">
        <x:v>×</x:v>
      </x:c>
      <x:c r="AH52" s="40" t="str">
        <x:v>×</x:v>
      </x:c>
      <x:c r="AI52" s="40" t="str">
        <x:v>×</x:v>
      </x:c>
      <x:c r="AJ52" s="40" t="str">
        <x:v>×</x:v>
      </x:c>
      <x:c r="AK52" s="40" t="str">
        <x:v>×</x:v>
      </x:c>
      <x:c r="AL52" s="40" t="str">
        <x:v>×</x:v>
      </x:c>
      <x:c r="AM52" s="40" t="str">
        <x:v>×</x:v>
      </x:c>
      <x:c r="AN52" s="40" t="str">
        <x:v>×</x:v>
      </x:c>
      <x:c r="AO52" s="40" t="str">
        <x:v>×</x:v>
      </x:c>
      <x:c r="AP52" s="40" t="str">
        <x:v>×</x:v>
      </x:c>
      <x:c r="AQ52" s="40" t="str">
        <x:v>×</x:v>
      </x:c>
      <x:c r="AR52" s="40" t="str">
        <x:v>×</x:v>
      </x:c>
      <x:c r="AS52" s="40" t="str">
        <x:v>×</x:v>
      </x:c>
      <x:c r="AT52" s="40" t="str">
        <x:v>×</x:v>
      </x:c>
      <x:c r="AU52" s="40" t="str">
        <x:v>×</x:v>
      </x:c>
      <x:c r="AV52" s="40" t="str">
        <x:v>×</x:v>
      </x:c>
      <x:c r="AW52" s="40" t="str">
        <x:v>×</x:v>
      </x:c>
      <x:c r="AX52" s="40" t="str">
        <x:v>×</x:v>
      </x:c>
      <x:c r="AY52" s="40" t="str">
        <x:v>×</x:v>
      </x:c>
      <x:c r="AZ52" s="40" t="str">
        <x:v>×</x:v>
      </x:c>
      <x:c r="BA52" s="40" t="str">
        <x:v>×</x:v>
      </x:c>
      <x:c r="BB52" s="41" t="str">
        <x:v>×</x:v>
      </x:c>
    </x:row>
    <x:row r="53">
      <x:c r="A53" s="37" t="str">
        <x:v>mri_esm2_0</x:v>
      </x:c>
      <x:c r="B53" s="38" t="n">
        <x:f>COUNTIF(D53:BB53,"&lt;&gt;×")</x:f>
        <x:v>44</x:v>
      </x:c>
      <x:c r="C53" s="39" t="n">
        <x:f>B53/51</x:f>
        <x:v>0.8627450980392157</x:v>
      </x:c>
      <x:c r="D53" s="40" t="str">
        <x:v>✓</x:v>
      </x:c>
      <x:c r="E53" s="40" t="str">
        <x:v>×</x:v>
      </x:c>
      <x:c r="F53" s="40" t="str">
        <x:v>✓</x:v>
      </x:c>
      <x:c r="G53" s="40" t="str">
        <x:v>✓</x:v>
      </x:c>
      <x:c r="H53" s="40" t="str">
        <x:v>✓</x:v>
      </x:c>
      <x:c r="I53" s="40" t="str">
        <x:v>✓</x:v>
      </x:c>
      <x:c r="J53" s="40" t="str">
        <x:v>✓</x:v>
      </x:c>
      <x:c r="K53" s="40" t="str">
        <x:v>✓</x:v>
      </x:c>
      <x:c r="L53" s="40" t="str">
        <x:v>✓</x:v>
      </x:c>
      <x:c r="M53" s="40" t="str">
        <x:v>✓</x:v>
      </x:c>
      <x:c r="N53" s="40" t="str">
        <x:v>✓</x:v>
      </x:c>
      <x:c r="O53" s="40" t="str">
        <x:v>✓</x:v>
      </x:c>
      <x:c r="P53" s="40" t="str">
        <x:v>✓</x:v>
      </x:c>
      <x:c r="Q53" s="40" t="str">
        <x:v>×</x:v>
      </x:c>
      <x:c r="R53" s="40" t="str">
        <x:v>✓</x:v>
      </x:c>
      <x:c r="S53" s="40" t="str">
        <x:v>✓</x:v>
      </x:c>
      <x:c r="T53" s="40" t="str">
        <x:v>✓</x:v>
      </x:c>
      <x:c r="U53" s="40" t="str">
        <x:v>✓</x:v>
      </x:c>
      <x:c r="V53" s="40" t="str">
        <x:v>✓</x:v>
      </x:c>
      <x:c r="W53" s="40" t="str">
        <x:v>✓</x:v>
      </x:c>
      <x:c r="X53" s="40" t="str">
        <x:v>×</x:v>
      </x:c>
      <x:c r="Y53" s="40" t="str">
        <x:v>✓</x:v>
      </x:c>
      <x:c r="Z53" s="40" t="str">
        <x:v>×</x:v>
      </x:c>
      <x:c r="AA53" s="40" t="str">
        <x:v>✓</x:v>
      </x:c>
      <x:c r="AB53" s="40" t="str">
        <x:v>×</x:v>
      </x:c>
      <x:c r="AC53" s="40" t="str">
        <x:v>×</x:v>
      </x:c>
      <x:c r="AD53" s="40" t="str">
        <x:v>✓</x:v>
      </x:c>
      <x:c r="AE53" s="40" t="str">
        <x:v>✓</x:v>
      </x:c>
      <x:c r="AF53" s="40" t="str">
        <x:v>✓</x:v>
      </x:c>
      <x:c r="AG53" s="40" t="str">
        <x:v>✓</x:v>
      </x:c>
      <x:c r="AH53" s="40" t="str">
        <x:v>✓</x:v>
      </x:c>
      <x:c r="AI53" s="40" t="str">
        <x:v>✓</x:v>
      </x:c>
      <x:c r="AJ53" s="40" t="str">
        <x:v>✓</x:v>
      </x:c>
      <x:c r="AK53" s="40" t="str">
        <x:v>✓</x:v>
      </x:c>
      <x:c r="AL53" s="40" t="str">
        <x:v>✓</x:v>
      </x:c>
      <x:c r="AM53" s="40" t="str">
        <x:v>✓</x:v>
      </x:c>
      <x:c r="AN53" s="40" t="str">
        <x:v>✓</x:v>
      </x:c>
      <x:c r="AO53" s="40" t="str">
        <x:v>✓</x:v>
      </x:c>
      <x:c r="AP53" s="40" t="str">
        <x:v>✓</x:v>
      </x:c>
      <x:c r="AQ53" s="40" t="str">
        <x:v>✓</x:v>
      </x:c>
      <x:c r="AR53" s="40" t="str">
        <x:v>✓</x:v>
      </x:c>
      <x:c r="AS53" s="40" t="str">
        <x:v>×</x:v>
      </x:c>
      <x:c r="AT53" s="40" t="str">
        <x:v>✓</x:v>
      </x:c>
      <x:c r="AU53" s="40" t="str">
        <x:v>✓</x:v>
      </x:c>
      <x:c r="AV53" s="40" t="str">
        <x:v>✓</x:v>
      </x:c>
      <x:c r="AW53" s="40" t="str">
        <x:v>✓</x:v>
      </x:c>
      <x:c r="AX53" s="40" t="str">
        <x:v>✓</x:v>
      </x:c>
      <x:c r="AY53" s="40" t="str">
        <x:v>✓</x:v>
      </x:c>
      <x:c r="AZ53" s="40" t="str">
        <x:v>✓</x:v>
      </x:c>
      <x:c r="BA53" s="40" t="str">
        <x:v>✓</x:v>
      </x:c>
      <x:c r="BB53" s="41" t="str">
        <x:v>✓</x:v>
      </x:c>
    </x:row>
    <x:row r="54">
      <x:c r="A54" s="37" t="str">
        <x:v>nesm3</x:v>
      </x:c>
      <x:c r="B54" s="38" t="n">
        <x:f>COUNTIF(D54:BB54,"&lt;&gt;×")</x:f>
        <x:v>35</x:v>
      </x:c>
      <x:c r="C54" s="39" t="n">
        <x:f>B54/51</x:f>
        <x:v>0.6862745098039216</x:v>
      </x:c>
      <x:c r="D54" s="40" t="str">
        <x:v>✓</x:v>
      </x:c>
      <x:c r="E54" s="40" t="str">
        <x:v>×</x:v>
      </x:c>
      <x:c r="F54" s="40" t="str">
        <x:v>✓</x:v>
      </x:c>
      <x:c r="G54" s="40" t="str">
        <x:v>✓</x:v>
      </x:c>
      <x:c r="H54" s="40" t="str">
        <x:v>✓</x:v>
      </x:c>
      <x:c r="I54" s="40" t="str">
        <x:v>✓</x:v>
      </x:c>
      <x:c r="J54" s="40" t="str">
        <x:v>✓</x:v>
      </x:c>
      <x:c r="K54" s="40" t="str">
        <x:v>✓</x:v>
      </x:c>
      <x:c r="L54" s="40" t="str">
        <x:v>×</x:v>
      </x:c>
      <x:c r="M54" s="40" t="str">
        <x:v>×</x:v>
      </x:c>
      <x:c r="N54" s="40" t="str">
        <x:v>×</x:v>
      </x:c>
      <x:c r="O54" s="40" t="str">
        <x:v>×</x:v>
      </x:c>
      <x:c r="P54" s="40" t="str">
        <x:v>✓</x:v>
      </x:c>
      <x:c r="Q54" s="40" t="str">
        <x:v>×</x:v>
      </x:c>
      <x:c r="R54" s="40" t="str">
        <x:v>×</x:v>
      </x:c>
      <x:c r="S54" s="40" t="str">
        <x:v>×</x:v>
      </x:c>
      <x:c r="T54" s="40" t="str">
        <x:v>✓</x:v>
      </x:c>
      <x:c r="U54" s="40" t="str">
        <x:v>✓</x:v>
      </x:c>
      <x:c r="V54" s="40" t="str">
        <x:v>×</x:v>
      </x:c>
      <x:c r="W54" s="40" t="str">
        <x:v>✓</x:v>
      </x:c>
      <x:c r="X54" s="40" t="str">
        <x:v>✓</x:v>
      </x:c>
      <x:c r="Y54" s="40" t="str">
        <x:v>×</x:v>
      </x:c>
      <x:c r="Z54" s="40" t="str">
        <x:v>×</x:v>
      </x:c>
      <x:c r="AA54" s="40" t="str">
        <x:v>✓</x:v>
      </x:c>
      <x:c r="AB54" s="40" t="str">
        <x:v>×</x:v>
      </x:c>
      <x:c r="AC54" s="40" t="str">
        <x:v>✓</x:v>
      </x:c>
      <x:c r="AD54" s="40" t="str">
        <x:v>✓</x:v>
      </x:c>
      <x:c r="AE54" s="40" t="str">
        <x:v>✓</x:v>
      </x:c>
      <x:c r="AF54" s="40" t="str">
        <x:v>✓</x:v>
      </x:c>
      <x:c r="AG54" s="40" t="str">
        <x:v>✓</x:v>
      </x:c>
      <x:c r="AH54" s="40" t="str">
        <x:v>×</x:v>
      </x:c>
      <x:c r="AI54" s="40" t="str">
        <x:v>✓</x:v>
      </x:c>
      <x:c r="AJ54" s="40" t="str">
        <x:v>✓</x:v>
      </x:c>
      <x:c r="AK54" s="40" t="str">
        <x:v>✓</x:v>
      </x:c>
      <x:c r="AL54" s="40" t="str">
        <x:v>×</x:v>
      </x:c>
      <x:c r="AM54" s="40" t="str">
        <x:v>✓</x:v>
      </x:c>
      <x:c r="AN54" s="40" t="str">
        <x:v>✓</x:v>
      </x:c>
      <x:c r="AO54" s="40" t="str">
        <x:v>✓</x:v>
      </x:c>
      <x:c r="AP54" s="40" t="str">
        <x:v>✓</x:v>
      </x:c>
      <x:c r="AQ54" s="40" t="str">
        <x:v>×</x:v>
      </x:c>
      <x:c r="AR54" s="40" t="str">
        <x:v>✓</x:v>
      </x:c>
      <x:c r="AS54" s="40" t="str">
        <x:v>✓</x:v>
      </x:c>
      <x:c r="AT54" s="40" t="str">
        <x:v>✓</x:v>
      </x:c>
      <x:c r="AU54" s="40" t="str">
        <x:v>✓</x:v>
      </x:c>
      <x:c r="AV54" s="40" t="str">
        <x:v>✓</x:v>
      </x:c>
      <x:c r="AW54" s="40" t="str">
        <x:v>✓</x:v>
      </x:c>
      <x:c r="AX54" s="40" t="str">
        <x:v>✓</x:v>
      </x:c>
      <x:c r="AY54" s="40" t="str">
        <x:v>✓</x:v>
      </x:c>
      <x:c r="AZ54" s="40" t="str">
        <x:v>✓</x:v>
      </x:c>
      <x:c r="BA54" s="40" t="str">
        <x:v>✓</x:v>
      </x:c>
      <x:c r="BB54" s="41" t="str">
        <x:v>×</x:v>
      </x:c>
    </x:row>
    <x:row r="55">
      <x:c r="A55" s="37" t="str">
        <x:v>norcpm1</x:v>
      </x:c>
      <x:c r="B55" s="38" t="n">
        <x:f>COUNTIF(D55:BB55,"&lt;&gt;×")</x:f>
        <x:v>45</x:v>
      </x:c>
      <x:c r="C55" s="39" t="n">
        <x:f>B55/51</x:f>
        <x:v>0.8823529411764706</x:v>
      </x:c>
      <x:c r="D55" s="40" t="str">
        <x:v>✓</x:v>
      </x:c>
      <x:c r="E55" s="40" t="str">
        <x:v>×</x:v>
      </x:c>
      <x:c r="F55" s="40" t="str">
        <x:v>✓</x:v>
      </x:c>
      <x:c r="G55" s="40" t="str">
        <x:v>✓</x:v>
      </x:c>
      <x:c r="H55" s="40" t="str">
        <x:v>✓</x:v>
      </x:c>
      <x:c r="I55" s="40" t="str">
        <x:v>✓</x:v>
      </x:c>
      <x:c r="J55" s="40" t="str">
        <x:v>✓</x:v>
      </x:c>
      <x:c r="K55" s="40" t="str">
        <x:v>✓</x:v>
      </x:c>
      <x:c r="L55" s="40" t="str">
        <x:v>✓</x:v>
      </x:c>
      <x:c r="M55" s="40" t="str">
        <x:v>✓</x:v>
      </x:c>
      <x:c r="N55" s="40" t="str">
        <x:v>✓</x:v>
      </x:c>
      <x:c r="O55" s="40" t="str">
        <x:v>✓</x:v>
      </x:c>
      <x:c r="P55" s="40" t="str">
        <x:v>✓</x:v>
      </x:c>
      <x:c r="Q55" s="40" t="str">
        <x:v>×</x:v>
      </x:c>
      <x:c r="R55" s="40" t="str">
        <x:v>✓</x:v>
      </x:c>
      <x:c r="S55" s="40" t="str">
        <x:v>✓</x:v>
      </x:c>
      <x:c r="T55" s="40" t="str">
        <x:v>✓</x:v>
      </x:c>
      <x:c r="U55" s="40" t="str">
        <x:v>✓</x:v>
      </x:c>
      <x:c r="V55" s="40" t="str">
        <x:v>✓</x:v>
      </x:c>
      <x:c r="W55" s="40" t="str">
        <x:v>✓</x:v>
      </x:c>
      <x:c r="X55" s="40" t="str">
        <x:v>×</x:v>
      </x:c>
      <x:c r="Y55" s="40" t="str">
        <x:v>✓</x:v>
      </x:c>
      <x:c r="Z55" s="40" t="str">
        <x:v>✓</x:v>
      </x:c>
      <x:c r="AA55" s="40" t="str">
        <x:v>✓</x:v>
      </x:c>
      <x:c r="AB55" s="40" t="str">
        <x:v>✓</x:v>
      </x:c>
      <x:c r="AC55" s="40" t="str">
        <x:v>✓</x:v>
      </x:c>
      <x:c r="AD55" s="40" t="str">
        <x:v>✓</x:v>
      </x:c>
      <x:c r="AE55" s="40" t="str">
        <x:v>✓</x:v>
      </x:c>
      <x:c r="AF55" s="40" t="str">
        <x:v>✓</x:v>
      </x:c>
      <x:c r="AG55" s="40" t="str">
        <x:v>✓</x:v>
      </x:c>
      <x:c r="AH55" s="40" t="str">
        <x:v>✓</x:v>
      </x:c>
      <x:c r="AI55" s="40" t="str">
        <x:v>✓</x:v>
      </x:c>
      <x:c r="AJ55" s="40" t="str">
        <x:v>✓</x:v>
      </x:c>
      <x:c r="AK55" s="40" t="str">
        <x:v>✓</x:v>
      </x:c>
      <x:c r="AL55" s="40" t="str">
        <x:v>✓</x:v>
      </x:c>
      <x:c r="AM55" s="40" t="str">
        <x:v>✓</x:v>
      </x:c>
      <x:c r="AN55" s="40" t="str">
        <x:v>✓</x:v>
      </x:c>
      <x:c r="AO55" s="40" t="str">
        <x:v>✓</x:v>
      </x:c>
      <x:c r="AP55" s="40" t="str">
        <x:v>✓</x:v>
      </x:c>
      <x:c r="AQ55" s="40" t="str">
        <x:v>×</x:v>
      </x:c>
      <x:c r="AR55" s="40" t="str">
        <x:v>✓</x:v>
      </x:c>
      <x:c r="AS55" s="40" t="str">
        <x:v>×</x:v>
      </x:c>
      <x:c r="AT55" s="40" t="str">
        <x:v>✓</x:v>
      </x:c>
      <x:c r="AU55" s="40" t="str">
        <x:v>✓</x:v>
      </x:c>
      <x:c r="AV55" s="40" t="str">
        <x:v>✓</x:v>
      </x:c>
      <x:c r="AW55" s="40" t="str">
        <x:v>✓</x:v>
      </x:c>
      <x:c r="AX55" s="40" t="str">
        <x:v>✓</x:v>
      </x:c>
      <x:c r="AY55" s="40" t="str">
        <x:v>✓</x:v>
      </x:c>
      <x:c r="AZ55" s="40" t="str">
        <x:v>✓</x:v>
      </x:c>
      <x:c r="BA55" s="40" t="str">
        <x:v>✓</x:v>
      </x:c>
      <x:c r="BB55" s="41" t="str">
        <x:v>×</x:v>
      </x:c>
    </x:row>
    <x:row r="56">
      <x:c r="A56" s="37" t="str">
        <x:v>noresm2_lm</x:v>
      </x:c>
      <x:c r="B56" s="38" t="n">
        <x:f>COUNTIF(D56:BB56,"&lt;&gt;×")</x:f>
        <x:v>4</x:v>
      </x:c>
      <x:c r="C56" s="39" t="n">
        <x:f>B56/51</x:f>
        <x:v>0.0784313725490196</x:v>
      </x:c>
      <x:c r="D56" s="40" t="str">
        <x:v>×</x:v>
      </x:c>
      <x:c r="E56" s="40" t="str">
        <x:v>×</x:v>
      </x:c>
      <x:c r="F56" s="40" t="str">
        <x:v>×</x:v>
      </x:c>
      <x:c r="G56" s="40" t="str">
        <x:v>×</x:v>
      </x:c>
      <x:c r="H56" s="40" t="str">
        <x:v>×</x:v>
      </x:c>
      <x:c r="I56" s="40" t="str">
        <x:v>×</x:v>
      </x:c>
      <x:c r="J56" s="40" t="str">
        <x:v>×</x:v>
      </x:c>
      <x:c r="K56" s="40" t="str">
        <x:v>×</x:v>
      </x:c>
      <x:c r="L56" s="40" t="str">
        <x:v>×</x:v>
      </x:c>
      <x:c r="M56" s="40" t="str">
        <x:v>×</x:v>
      </x:c>
      <x:c r="N56" s="40" t="str">
        <x:v>×</x:v>
      </x:c>
      <x:c r="O56" s="40" t="str">
        <x:v>✓</x:v>
      </x:c>
      <x:c r="P56" s="40" t="str">
        <x:v>×</x:v>
      </x:c>
      <x:c r="Q56" s="40" t="str">
        <x:v>×</x:v>
      </x:c>
      <x:c r="R56" s="40" t="str">
        <x:v>×</x:v>
      </x:c>
      <x:c r="S56" s="40" t="str">
        <x:v>✓</x:v>
      </x:c>
      <x:c r="T56" s="40" t="str">
        <x:v>×</x:v>
      </x:c>
      <x:c r="U56" s="40" t="str">
        <x:v>×</x:v>
      </x:c>
      <x:c r="V56" s="40" t="str">
        <x:v>×</x:v>
      </x:c>
      <x:c r="W56" s="40" t="str">
        <x:v>×</x:v>
      </x:c>
      <x:c r="X56" s="40" t="str">
        <x:v>×</x:v>
      </x:c>
      <x:c r="Y56" s="40" t="str">
        <x:v>✓</x:v>
      </x:c>
      <x:c r="Z56" s="40" t="str">
        <x:v>×</x:v>
      </x:c>
      <x:c r="AA56" s="40" t="str">
        <x:v>×</x:v>
      </x:c>
      <x:c r="AB56" s="40" t="str">
        <x:v>×</x:v>
      </x:c>
      <x:c r="AC56" s="40" t="str">
        <x:v>×</x:v>
      </x:c>
      <x:c r="AD56" s="40" t="str">
        <x:v>×</x:v>
      </x:c>
      <x:c r="AE56" s="40" t="str">
        <x:v>×</x:v>
      </x:c>
      <x:c r="AF56" s="40" t="str">
        <x:v>×</x:v>
      </x:c>
      <x:c r="AG56" s="40" t="str">
        <x:v>×</x:v>
      </x:c>
      <x:c r="AH56" s="40" t="str">
        <x:v>×</x:v>
      </x:c>
      <x:c r="AI56" s="40" t="str">
        <x:v>×</x:v>
      </x:c>
      <x:c r="AJ56" s="40" t="str">
        <x:v>×</x:v>
      </x:c>
      <x:c r="AK56" s="40" t="str">
        <x:v>×</x:v>
      </x:c>
      <x:c r="AL56" s="40" t="str">
        <x:v>×</x:v>
      </x:c>
      <x:c r="AM56" s="40" t="str">
        <x:v>×</x:v>
      </x:c>
      <x:c r="AN56" s="40" t="str">
        <x:v>×</x:v>
      </x:c>
      <x:c r="AO56" s="40" t="str">
        <x:v>×</x:v>
      </x:c>
      <x:c r="AP56" s="40" t="str">
        <x:v>×</x:v>
      </x:c>
      <x:c r="AQ56" s="40" t="str">
        <x:v>×</x:v>
      </x:c>
      <x:c r="AR56" s="40" t="str">
        <x:v>×</x:v>
      </x:c>
      <x:c r="AS56" s="40" t="str">
        <x:v>×</x:v>
      </x:c>
      <x:c r="AT56" s="40" t="str">
        <x:v>×</x:v>
      </x:c>
      <x:c r="AU56" s="40" t="str">
        <x:v>×</x:v>
      </x:c>
      <x:c r="AV56" s="40" t="str">
        <x:v>×</x:v>
      </x:c>
      <x:c r="AW56" s="40" t="str">
        <x:v>×</x:v>
      </x:c>
      <x:c r="AX56" s="40" t="str">
        <x:v>×</x:v>
      </x:c>
      <x:c r="AY56" s="40" t="str">
        <x:v>×</x:v>
      </x:c>
      <x:c r="AZ56" s="40" t="str">
        <x:v>×</x:v>
      </x:c>
      <x:c r="BA56" s="40" t="str">
        <x:v>×</x:v>
      </x:c>
      <x:c r="BB56" s="41" t="str">
        <x:v>✓</x:v>
      </x:c>
    </x:row>
    <x:row r="57">
      <x:c r="A57" s="37" t="str">
        <x:v>noresm2_mm</x:v>
      </x:c>
      <x:c r="B57" s="38" t="n">
        <x:f>COUNTIF(D57:BB57,"&lt;&gt;×")</x:f>
        <x:v>44</x:v>
      </x:c>
      <x:c r="C57" s="39" t="n">
        <x:f>B57/51</x:f>
        <x:v>0.8627450980392157</x:v>
      </x:c>
      <x:c r="D57" s="40" t="str">
        <x:v>✓</x:v>
      </x:c>
      <x:c r="E57" s="40" t="str">
        <x:v>×</x:v>
      </x:c>
      <x:c r="F57" s="40" t="str">
        <x:v>✓</x:v>
      </x:c>
      <x:c r="G57" s="40" t="str">
        <x:v>✓</x:v>
      </x:c>
      <x:c r="H57" s="40" t="str">
        <x:v>×</x:v>
      </x:c>
      <x:c r="I57" s="40" t="str">
        <x:v>✓</x:v>
      </x:c>
      <x:c r="J57" s="40" t="str">
        <x:v>✓</x:v>
      </x:c>
      <x:c r="K57" s="40" t="str">
        <x:v>✓</x:v>
      </x:c>
      <x:c r="L57" s="40" t="str">
        <x:v>✓</x:v>
      </x:c>
      <x:c r="M57" s="40" t="str">
        <x:v>✓</x:v>
      </x:c>
      <x:c r="N57" s="40" t="str">
        <x:v>×</x:v>
      </x:c>
      <x:c r="O57" s="40" t="str">
        <x:v>✓</x:v>
      </x:c>
      <x:c r="P57" s="40" t="str">
        <x:v>✓</x:v>
      </x:c>
      <x:c r="Q57" s="40" t="str">
        <x:v>×</x:v>
      </x:c>
      <x:c r="R57" s="40" t="str">
        <x:v>✓</x:v>
      </x:c>
      <x:c r="S57" s="40" t="str">
        <x:v>✓</x:v>
      </x:c>
      <x:c r="T57" s="40" t="str">
        <x:v>×</x:v>
      </x:c>
      <x:c r="U57" s="40" t="str">
        <x:v>✓</x:v>
      </x:c>
      <x:c r="V57" s="40" t="str">
        <x:v>×</x:v>
      </x:c>
      <x:c r="W57" s="40" t="str">
        <x:v>✓</x:v>
      </x:c>
      <x:c r="X57" s="40" t="str">
        <x:v>×</x:v>
      </x:c>
      <x:c r="Y57" s="40" t="str">
        <x:v>✓</x:v>
      </x:c>
      <x:c r="Z57" s="40" t="str">
        <x:v>✓</x:v>
      </x:c>
      <x:c r="AA57" s="40" t="str">
        <x:v>✓</x:v>
      </x:c>
      <x:c r="AB57" s="40" t="str">
        <x:v>✓</x:v>
      </x:c>
      <x:c r="AC57" s="40" t="str">
        <x:v>✓</x:v>
      </x:c>
      <x:c r="AD57" s="40" t="str">
        <x:v>✓</x:v>
      </x:c>
      <x:c r="AE57" s="40" t="str">
        <x:v>✓</x:v>
      </x:c>
      <x:c r="AF57" s="40" t="str">
        <x:v>✓</x:v>
      </x:c>
      <x:c r="AG57" s="40" t="str">
        <x:v>✓</x:v>
      </x:c>
      <x:c r="AH57" s="40" t="str">
        <x:v>✓</x:v>
      </x:c>
      <x:c r="AI57" s="40" t="str">
        <x:v>✓</x:v>
      </x:c>
      <x:c r="AJ57" s="40" t="str">
        <x:v>✓</x:v>
      </x:c>
      <x:c r="AK57" s="40" t="str">
        <x:v>✓</x:v>
      </x:c>
      <x:c r="AL57" s="40" t="str">
        <x:v>✓</x:v>
      </x:c>
      <x:c r="AM57" s="40" t="str">
        <x:v>✓</x:v>
      </x:c>
      <x:c r="AN57" s="40" t="str">
        <x:v>✓</x:v>
      </x:c>
      <x:c r="AO57" s="40" t="str">
        <x:v>✓</x:v>
      </x:c>
      <x:c r="AP57" s="40" t="str">
        <x:v>✓</x:v>
      </x:c>
      <x:c r="AQ57" s="40" t="str">
        <x:v>✓</x:v>
      </x:c>
      <x:c r="AR57" s="40" t="str">
        <x:v>✓</x:v>
      </x:c>
      <x:c r="AS57" s="40" t="str">
        <x:v>✓</x:v>
      </x:c>
      <x:c r="AT57" s="40" t="str">
        <x:v>✓</x:v>
      </x:c>
      <x:c r="AU57" s="40" t="str">
        <x:v>✓</x:v>
      </x:c>
      <x:c r="AV57" s="40" t="str">
        <x:v>✓</x:v>
      </x:c>
      <x:c r="AW57" s="40" t="str">
        <x:v>✓</x:v>
      </x:c>
      <x:c r="AX57" s="40" t="str">
        <x:v>✓</x:v>
      </x:c>
      <x:c r="AY57" s="40" t="str">
        <x:v>✓</x:v>
      </x:c>
      <x:c r="AZ57" s="40" t="str">
        <x:v>✓</x:v>
      </x:c>
      <x:c r="BA57" s="40" t="str">
        <x:v>✓</x:v>
      </x:c>
      <x:c r="BB57" s="41" t="str">
        <x:v>✓</x:v>
      </x:c>
    </x:row>
    <x:row r="58">
      <x:c r="A58" s="37" t="str">
        <x:v>sam0_unicon</x:v>
      </x:c>
      <x:c r="B58" s="38" t="n">
        <x:f>COUNTIF(D58:BB58,"&lt;&gt;×")</x:f>
        <x:v>42</x:v>
      </x:c>
      <x:c r="C58" s="39" t="n">
        <x:f>B58/51</x:f>
        <x:v>0.8235294117647058</x:v>
      </x:c>
      <x:c r="D58" s="40" t="str">
        <x:v>✓</x:v>
      </x:c>
      <x:c r="E58" s="40" t="str">
        <x:v>×</x:v>
      </x:c>
      <x:c r="F58" s="40" t="str">
        <x:v>✓</x:v>
      </x:c>
      <x:c r="G58" s="40" t="str">
        <x:v>✓</x:v>
      </x:c>
      <x:c r="H58" s="40" t="str">
        <x:v>×</x:v>
      </x:c>
      <x:c r="I58" s="40" t="str">
        <x:v>✓</x:v>
      </x:c>
      <x:c r="J58" s="40" t="str">
        <x:v>✓</x:v>
      </x:c>
      <x:c r="K58" s="40" t="str">
        <x:v>✓</x:v>
      </x:c>
      <x:c r="L58" s="40" t="str">
        <x:v>✓</x:v>
      </x:c>
      <x:c r="M58" s="40" t="str">
        <x:v>✓</x:v>
      </x:c>
      <x:c r="N58" s="40" t="str">
        <x:v>✓</x:v>
      </x:c>
      <x:c r="O58" s="40" t="str">
        <x:v>✓</x:v>
      </x:c>
      <x:c r="P58" s="40" t="str">
        <x:v>✓</x:v>
      </x:c>
      <x:c r="Q58" s="40" t="str">
        <x:v>×</x:v>
      </x:c>
      <x:c r="R58" s="40" t="str">
        <x:v>✓</x:v>
      </x:c>
      <x:c r="S58" s="40" t="str">
        <x:v>✓</x:v>
      </x:c>
      <x:c r="T58" s="40" t="str">
        <x:v>×</x:v>
      </x:c>
      <x:c r="U58" s="40" t="str">
        <x:v>✓</x:v>
      </x:c>
      <x:c r="V58" s="40" t="str">
        <x:v>✓</x:v>
      </x:c>
      <x:c r="W58" s="40" t="str">
        <x:v>✓</x:v>
      </x:c>
      <x:c r="X58" s="40" t="str">
        <x:v>✓</x:v>
      </x:c>
      <x:c r="Y58" s="40" t="str">
        <x:v>×</x:v>
      </x:c>
      <x:c r="Z58" s="40" t="str">
        <x:v>✓</x:v>
      </x:c>
      <x:c r="AA58" s="40" t="str">
        <x:v>×</x:v>
      </x:c>
      <x:c r="AB58" s="40" t="str">
        <x:v>×</x:v>
      </x:c>
      <x:c r="AC58" s="40" t="str">
        <x:v>×</x:v>
      </x:c>
      <x:c r="AD58" s="40" t="str">
        <x:v>✓</x:v>
      </x:c>
      <x:c r="AE58" s="40" t="str">
        <x:v>✓</x:v>
      </x:c>
      <x:c r="AF58" s="40" t="str">
        <x:v>✓</x:v>
      </x:c>
      <x:c r="AG58" s="40" t="str">
        <x:v>✓</x:v>
      </x:c>
      <x:c r="AH58" s="40" t="str">
        <x:v>✓</x:v>
      </x:c>
      <x:c r="AI58" s="40" t="str">
        <x:v>✓</x:v>
      </x:c>
      <x:c r="AJ58" s="40" t="str">
        <x:v>✓</x:v>
      </x:c>
      <x:c r="AK58" s="40" t="str">
        <x:v>✓</x:v>
      </x:c>
      <x:c r="AL58" s="40" t="str">
        <x:v>✓</x:v>
      </x:c>
      <x:c r="AM58" s="40" t="str">
        <x:v>✓</x:v>
      </x:c>
      <x:c r="AN58" s="40" t="str">
        <x:v>✓</x:v>
      </x:c>
      <x:c r="AO58" s="40" t="str">
        <x:v>✓</x:v>
      </x:c>
      <x:c r="AP58" s="40" t="str">
        <x:v>✓</x:v>
      </x:c>
      <x:c r="AQ58" s="40" t="str">
        <x:v>✓</x:v>
      </x:c>
      <x:c r="AR58" s="40" t="str">
        <x:v>✓</x:v>
      </x:c>
      <x:c r="AS58" s="40" t="str">
        <x:v>×</x:v>
      </x:c>
      <x:c r="AT58" s="40" t="str">
        <x:v>✓</x:v>
      </x:c>
      <x:c r="AU58" s="40" t="str">
        <x:v>✓</x:v>
      </x:c>
      <x:c r="AV58" s="40" t="str">
        <x:v>✓</x:v>
      </x:c>
      <x:c r="AW58" s="40" t="str">
        <x:v>✓</x:v>
      </x:c>
      <x:c r="AX58" s="40" t="str">
        <x:v>✓</x:v>
      </x:c>
      <x:c r="AY58" s="40" t="str">
        <x:v>✓</x:v>
      </x:c>
      <x:c r="AZ58" s="40" t="str">
        <x:v>✓</x:v>
      </x:c>
      <x:c r="BA58" s="40" t="str">
        <x:v>✓</x:v>
      </x:c>
      <x:c r="BB58" s="41" t="str">
        <x:v>✓</x:v>
      </x:c>
    </x:row>
    <x:row r="59">
      <x:c r="A59" s="37" t="str">
        <x:v>taiesm1</x:v>
      </x:c>
      <x:c r="B59" s="38" t="n">
        <x:f>COUNTIF(D59:BB59,"&lt;&gt;×")</x:f>
        <x:v>38</x:v>
      </x:c>
      <x:c r="C59" s="39" t="n">
        <x:f>B59/51</x:f>
        <x:v>0.7450980392156863</x:v>
      </x:c>
      <x:c r="D59" s="40" t="str">
        <x:v>✓</x:v>
      </x:c>
      <x:c r="E59" s="40" t="str">
        <x:v>×</x:v>
      </x:c>
      <x:c r="F59" s="40" t="str">
        <x:v>×</x:v>
      </x:c>
      <x:c r="G59" s="40" t="str">
        <x:v>×</x:v>
      </x:c>
      <x:c r="H59" s="40" t="str">
        <x:v>×</x:v>
      </x:c>
      <x:c r="I59" s="40" t="str">
        <x:v>✓</x:v>
      </x:c>
      <x:c r="J59" s="40" t="str">
        <x:v>✓</x:v>
      </x:c>
      <x:c r="K59" s="40" t="str">
        <x:v>✓</x:v>
      </x:c>
      <x:c r="L59" s="40" t="str">
        <x:v>✓</x:v>
      </x:c>
      <x:c r="M59" s="40" t="str">
        <x:v>×</x:v>
      </x:c>
      <x:c r="N59" s="40" t="str">
        <x:v>×</x:v>
      </x:c>
      <x:c r="O59" s="40" t="str">
        <x:v>✓</x:v>
      </x:c>
      <x:c r="P59" s="40" t="str">
        <x:v>✓</x:v>
      </x:c>
      <x:c r="Q59" s="40" t="str">
        <x:v>×</x:v>
      </x:c>
      <x:c r="R59" s="40" t="str">
        <x:v>✓</x:v>
      </x:c>
      <x:c r="S59" s="40" t="str">
        <x:v>✓</x:v>
      </x:c>
      <x:c r="T59" s="40" t="str">
        <x:v>×</x:v>
      </x:c>
      <x:c r="U59" s="40" t="str">
        <x:v>✓</x:v>
      </x:c>
      <x:c r="V59" s="40" t="str">
        <x:v>✓</x:v>
      </x:c>
      <x:c r="W59" s="40" t="str">
        <x:v>✓</x:v>
      </x:c>
      <x:c r="X59" s="40" t="str">
        <x:v>✓</x:v>
      </x:c>
      <x:c r="Y59" s="40" t="str">
        <x:v>×</x:v>
      </x:c>
      <x:c r="Z59" s="40" t="str">
        <x:v>×</x:v>
      </x:c>
      <x:c r="AA59" s="40" t="str">
        <x:v>✓</x:v>
      </x:c>
      <x:c r="AB59" s="40" t="str">
        <x:v>×</x:v>
      </x:c>
      <x:c r="AC59" s="40" t="str">
        <x:v>✓</x:v>
      </x:c>
      <x:c r="AD59" s="40" t="str">
        <x:v>✓</x:v>
      </x:c>
      <x:c r="AE59" s="40" t="str">
        <x:v>✓</x:v>
      </x:c>
      <x:c r="AF59" s="40" t="str">
        <x:v>×</x:v>
      </x:c>
      <x:c r="AG59" s="40" t="str">
        <x:v>✓</x:v>
      </x:c>
      <x:c r="AH59" s="40" t="str">
        <x:v>✓</x:v>
      </x:c>
      <x:c r="AI59" s="40" t="str">
        <x:v>✓</x:v>
      </x:c>
      <x:c r="AJ59" s="40" t="str">
        <x:v>✓</x:v>
      </x:c>
      <x:c r="AK59" s="40" t="str">
        <x:v>✓</x:v>
      </x:c>
      <x:c r="AL59" s="40" t="str">
        <x:v>✓</x:v>
      </x:c>
      <x:c r="AM59" s="40" t="str">
        <x:v>✓</x:v>
      </x:c>
      <x:c r="AN59" s="40" t="str">
        <x:v>✓</x:v>
      </x:c>
      <x:c r="AO59" s="40" t="str">
        <x:v>✓</x:v>
      </x:c>
      <x:c r="AP59" s="40" t="str">
        <x:v>✓</x:v>
      </x:c>
      <x:c r="AQ59" s="40" t="str">
        <x:v>✓</x:v>
      </x:c>
      <x:c r="AR59" s="40" t="str">
        <x:v>✓</x:v>
      </x:c>
      <x:c r="AS59" s="40" t="str">
        <x:v>×</x:v>
      </x:c>
      <x:c r="AT59" s="40" t="str">
        <x:v>✓</x:v>
      </x:c>
      <x:c r="AU59" s="40" t="str">
        <x:v>✓</x:v>
      </x:c>
      <x:c r="AV59" s="40" t="str">
        <x:v>✓</x:v>
      </x:c>
      <x:c r="AW59" s="40" t="str">
        <x:v>✓</x:v>
      </x:c>
      <x:c r="AX59" s="40" t="str">
        <x:v>✓</x:v>
      </x:c>
      <x:c r="AY59" s="40" t="str">
        <x:v>✓</x:v>
      </x:c>
      <x:c r="AZ59" s="40" t="str">
        <x:v>✓</x:v>
      </x:c>
      <x:c r="BA59" s="40" t="str">
        <x:v>✓</x:v>
      </x:c>
      <x:c r="BB59" s="41" t="str">
        <x:v>✓</x:v>
      </x:c>
    </x:row>
    <x:row r="60">
      <x:c r="A60" s="42" t="str">
        <x:v>ukesm1_0_ll</x:v>
      </x:c>
      <x:c r="B60" s="43" t="n">
        <x:f>COUNTIF(D60:BB60,"&lt;&gt;×")</x:f>
        <x:v>40</x:v>
      </x:c>
      <x:c r="C60" s="44" t="n">
        <x:f>B60/51</x:f>
        <x:v>0.7843137254901961</x:v>
      </x:c>
      <x:c r="D60" s="45" t="str">
        <x:v>✓</x:v>
      </x:c>
      <x:c r="E60" s="45" t="str">
        <x:v>×</x:v>
      </x:c>
      <x:c r="F60" s="45" t="str">
        <x:v>✓</x:v>
      </x:c>
      <x:c r="G60" s="45" t="str">
        <x:v>✓</x:v>
      </x:c>
      <x:c r="H60" s="45" t="str">
        <x:v>✓</x:v>
      </x:c>
      <x:c r="I60" s="45" t="str">
        <x:v>✓</x:v>
      </x:c>
      <x:c r="J60" s="45" t="str">
        <x:v>✓</x:v>
      </x:c>
      <x:c r="K60" s="45" t="str">
        <x:v>✓</x:v>
      </x:c>
      <x:c r="L60" s="45" t="str">
        <x:v>×</x:v>
      </x:c>
      <x:c r="M60" s="45" t="str">
        <x:v>×</x:v>
      </x:c>
      <x:c r="N60" s="45" t="str">
        <x:v>×</x:v>
      </x:c>
      <x:c r="O60" s="45" t="str">
        <x:v>✓</x:v>
      </x:c>
      <x:c r="P60" s="45" t="str">
        <x:v>✓</x:v>
      </x:c>
      <x:c r="Q60" s="45" t="str">
        <x:v>×</x:v>
      </x:c>
      <x:c r="R60" s="45" t="str">
        <x:v>✓</x:v>
      </x:c>
      <x:c r="S60" s="45" t="str">
        <x:v>✓</x:v>
      </x:c>
      <x:c r="T60" s="45" t="str">
        <x:v>✓</x:v>
      </x:c>
      <x:c r="U60" s="45" t="str">
        <x:v>✓</x:v>
      </x:c>
      <x:c r="V60" s="45" t="str">
        <x:v>×</x:v>
      </x:c>
      <x:c r="W60" s="45" t="str">
        <x:v>✓</x:v>
      </x:c>
      <x:c r="X60" s="45" t="str">
        <x:v>✓</x:v>
      </x:c>
      <x:c r="Y60" s="45" t="str">
        <x:v>×</x:v>
      </x:c>
      <x:c r="Z60" s="45" t="str">
        <x:v>×</x:v>
      </x:c>
      <x:c r="AA60" s="45" t="str">
        <x:v>✓</x:v>
      </x:c>
      <x:c r="AB60" s="45" t="str">
        <x:v>✓</x:v>
      </x:c>
      <x:c r="AC60" s="45" t="str">
        <x:v>✓</x:v>
      </x:c>
      <x:c r="AD60" s="45" t="str">
        <x:v>✓</x:v>
      </x:c>
      <x:c r="AE60" s="45" t="str">
        <x:v>✓</x:v>
      </x:c>
      <x:c r="AF60" s="45" t="str">
        <x:v>✓</x:v>
      </x:c>
      <x:c r="AG60" s="45" t="str">
        <x:v>✓</x:v>
      </x:c>
      <x:c r="AH60" s="45" t="str">
        <x:v>×</x:v>
      </x:c>
      <x:c r="AI60" s="45" t="str">
        <x:v>✓</x:v>
      </x:c>
      <x:c r="AJ60" s="45" t="str">
        <x:v>✓</x:v>
      </x:c>
      <x:c r="AK60" s="45" t="str">
        <x:v>✓</x:v>
      </x:c>
      <x:c r="AL60" s="45" t="str">
        <x:v>×</x:v>
      </x:c>
      <x:c r="AM60" s="45" t="str">
        <x:v>✓</x:v>
      </x:c>
      <x:c r="AN60" s="45" t="str">
        <x:v>✓</x:v>
      </x:c>
      <x:c r="AO60" s="45" t="str">
        <x:v>✓</x:v>
      </x:c>
      <x:c r="AP60" s="45" t="str">
        <x:v>✓</x:v>
      </x:c>
      <x:c r="AQ60" s="45" t="str">
        <x:v>×</x:v>
      </x:c>
      <x:c r="AR60" s="45" t="str">
        <x:v>✓</x:v>
      </x:c>
      <x:c r="AS60" s="45" t="str">
        <x:v>✓</x:v>
      </x:c>
      <x:c r="AT60" s="45" t="str">
        <x:v>✓</x:v>
      </x:c>
      <x:c r="AU60" s="45" t="str">
        <x:v>✓</x:v>
      </x:c>
      <x:c r="AV60" s="45" t="str">
        <x:v>✓</x:v>
      </x:c>
      <x:c r="AW60" s="45" t="str">
        <x:v>✓</x:v>
      </x:c>
      <x:c r="AX60" s="45" t="str">
        <x:v>✓</x:v>
      </x:c>
      <x:c r="AY60" s="45" t="str">
        <x:v>✓</x:v>
      </x:c>
      <x:c r="AZ60" s="45" t="str">
        <x:v>✓</x:v>
      </x:c>
      <x:c r="BA60" s="45" t="str">
        <x:v>✓</x:v>
      </x:c>
      <x:c r="BB60" s="46" t="str">
        <x:v>✓</x:v>
      </x:c>
    </x:row>
  </x:sheetData>
  <x:mergeCells>
    <x:mergeCell ref="A1:F1"/>
  </x:mergeCells>
  <x:conditionalFormatting sqref="D3:BB60">
    <x:cfRule type="containsText" dxfId="0" priority="1" operator="containsText" text="×"/>
    <x:cfRule type="containsText" dxfId="1" priority="2" operator="containsText" text="✓"/>
  </x:conditionalFormatting>
  <x:pageMargins left="0.7" right="0.7" top="0.75" bottom="0.75" header="0.3" footer="0.3"/>
  <x:tableParts count="1">
    <x:tablePart xmlns:r="http://schemas.openxmlformats.org/officeDocument/2006/relationships" r:id="R22c6dcb20ddd47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3" hidden="0" customWidth="1"/>
    <x:col min="3" max="3" width="10"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 min="27" max="27" width="9" hidden="0" customWidth="1"/>
    <x:col min="28" max="28" width="9" hidden="0" customWidth="1"/>
    <x:col min="29" max="29" width="9" hidden="0" customWidth="1"/>
    <x:col min="30" max="30" width="9" hidden="0" customWidth="1"/>
    <x:col min="31" max="31" width="9" hidden="0" customWidth="1"/>
    <x:col min="32" max="32" width="9" hidden="0" customWidth="1"/>
    <x:col min="33" max="33" width="9" hidden="0" customWidth="1"/>
    <x:col min="34" max="34" width="9" hidden="0" customWidth="1"/>
    <x:col min="35" max="35" width="9" hidden="0" customWidth="1"/>
    <x:col min="36" max="36" width="9" hidden="0" customWidth="1"/>
    <x:col min="37" max="37" width="9" hidden="0" customWidth="1"/>
    <x:col min="38" max="38" width="9" hidden="0" customWidth="1"/>
    <x:col min="39" max="39" width="9" hidden="0" customWidth="1"/>
    <x:col min="40" max="40" width="9" hidden="0" customWidth="1"/>
    <x:col min="41" max="41" width="9" hidden="0" customWidth="1"/>
    <x:col min="42" max="42" width="9" hidden="0" customWidth="1"/>
    <x:col min="43" max="43" width="9" hidden="0" customWidth="1"/>
    <x:col min="44" max="44" width="9" hidden="0" customWidth="1"/>
    <x:col min="45" max="45" width="9" hidden="0" customWidth="1"/>
    <x:col min="46" max="46" width="9" hidden="0" customWidth="1"/>
    <x:col min="47" max="47" width="9" hidden="0" customWidth="1"/>
    <x:col min="48" max="48" width="9" hidden="0" customWidth="1"/>
    <x:col min="49" max="49" width="9" hidden="0" customWidth="1"/>
    <x:col min="50" max="50" width="9" hidden="0" customWidth="1"/>
    <x:col min="51" max="51" width="9" hidden="0" customWidth="1"/>
    <x:col min="52" max="52" width="9" hidden="0" customWidth="1"/>
    <x:col min="53" max="53" width="9" hidden="0" customWidth="1"/>
    <x:col min="54" max="54" width="9" hidden="0" customWidth="1"/>
  </x:cols>
  <x:sheetData>
    <x:row r="1" ht="28" customHeight="1">
      <x:c r="A1" s="21" t="str">
        <x:v>Historical resolution availability</x:v>
      </x:c>
      <x:c r="B1" s="21"/>
      <x:c r="C1" s="21"/>
      <x:c r="D1" s="21"/>
      <x:c r="E1" s="21"/>
      <x:c r="F1" s="21"/>
    </x:row>
    <x:row r="2" ht="64" customHeight="1">
      <x:c r="A2" s="26" t="str">
        <x:v>Model</x:v>
      </x:c>
      <x:c r="B2" s="25" t="str">
        <x:v>Available count</x:v>
      </x:c>
      <x:c r="C2" s="25" t="str">
        <x:v>Coverage</x:v>
      </x:c>
      <x:c r="D2" s="25" t="str">
        <x:v>V01
Air temperature</x:v>
      </x:c>
      <x:c r="E2" s="25" t="str">
        <x:v>V02
Capacity of soil to store water</x:v>
      </x:c>
      <x:c r="F2" s="25" t="str">
        <x:v>V03
Daily maximum near-surface air temperature</x:v>
      </x:c>
      <x:c r="G2" s="25" t="str">
        <x:v>V04
Daily minimum near-surface air temperature</x:v>
      </x:c>
      <x:c r="H2" s="25" t="str">
        <x:v>V05
Eastward near-surface wind</x:v>
      </x:c>
      <x:c r="I2" s="25" t="str">
        <x:v>V06
Eastward wind</x:v>
      </x:c>
      <x:c r="J2" s="25" t="str">
        <x:v>V07
Evaporation including sublimation and transpiration</x:v>
      </x:c>
      <x:c r="K2" s="25" t="str">
        <x:v>V08
Geopotential height</x:v>
      </x:c>
      <x:c r="L2" s="25" t="str">
        <x:v>V09
Grid-cell area for atmospheric grid variables</x:v>
      </x:c>
      <x:c r="M2" s="25" t="str">
        <x:v>V10
Grid-cell area for ocean variables</x:v>
      </x:c>
      <x:c r="N2" s="25" t="str">
        <x:v>V11
Land ice area percentage</x:v>
      </x:c>
      <x:c r="O2" s="25" t="str">
        <x:v>V12
Moisture in upper portion of soil column</x:v>
      </x:c>
      <x:c r="P2" s="25" t="str">
        <x:v>V13
Near-surface air temperature</x:v>
      </x:c>
      <x:c r="Q2" s="25" t="str">
        <x:v>V14
Near-surface relative humidity</x:v>
      </x:c>
      <x:c r="R2" s="25" t="str">
        <x:v>V15
Near-surface specific humidity</x:v>
      </x:c>
      <x:c r="S2" s="25" t="str">
        <x:v>V16
Near-surface wind speed</x:v>
      </x:c>
      <x:c r="T2" s="25" t="str">
        <x:v>V17
Northward near-surface wind</x:v>
      </x:c>
      <x:c r="U2" s="25" t="str">
        <x:v>V18
Northward wind</x:v>
      </x:c>
      <x:c r="V2" s="25" t="str">
        <x:v>V19
Land area percentage including lakes</x:v>
      </x:c>
      <x:c r="W2" s="25" t="str">
        <x:v>V20
Precipitation</x:v>
      </x:c>
      <x:c r="X2" s="25" t="str">
        <x:v>V21
Relative humidity</x:v>
      </x:c>
      <x:c r="Y2" s="25" t="str">
        <x:v>V22
Sea area percentage</x:v>
      </x:c>
      <x:c r="Z2" s="25" t="str">
        <x:v>V23
Sea-floor depth below geoid</x:v>
      </x:c>
      <x:c r="AA2" s="25" t="str">
        <x:v>V24
Sea-ice area percentage on ocean grid</x:v>
      </x:c>
      <x:c r="AB2" s="25" t="str">
        <x:v>V25
Sea-ice mass per area</x:v>
      </x:c>
      <x:c r="AC2" s="25" t="str">
        <x:v>V26
Sea-ice thickness</x:v>
      </x:c>
      <x:c r="AD2" s="25" t="str">
        <x:v>V27
Sea-level pressure</x:v>
      </x:c>
      <x:c r="AE2" s="25" t="str">
        <x:v>V28
Sea-surface height above geoid</x:v>
      </x:c>
      <x:c r="AF2" s="25" t="str">
        <x:v>V29
Sea-surface salinity</x:v>
      </x:c>
      <x:c r="AG2" s="25" t="str">
        <x:v>V30
Sea-surface temperature</x:v>
      </x:c>
      <x:c r="AH2" s="25" t="str">
        <x:v>V31
Snow depth</x:v>
      </x:c>
      <x:c r="AI2" s="25" t="str">
        <x:v>V32
Snowfall flux</x:v>
      </x:c>
      <x:c r="AJ2" s="25" t="str">
        <x:v>V33
Specific humidity</x:v>
      </x:c>
      <x:c r="AK2" s="25" t="str">
        <x:v>V34
Surface air pressure</x:v>
      </x:c>
      <x:c r="AL2" s="25" t="str">
        <x:v>V35
Surface altitude</x:v>
      </x:c>
      <x:c r="AM2" s="25" t="str">
        <x:v>V36
Surface downward eastward wind stress</x:v>
      </x:c>
      <x:c r="AN2" s="25" t="str">
        <x:v>V37
Surface downward northward wind stress</x:v>
      </x:c>
      <x:c r="AO2" s="25" t="str">
        <x:v>V38
Surface downwelling longwave radiation</x:v>
      </x:c>
      <x:c r="AP2" s="25" t="str">
        <x:v>V39
Surface downwelling shortwave radiation</x:v>
      </x:c>
      <x:c r="AQ2" s="25" t="str">
        <x:v>V40
Surface snow amount</x:v>
      </x:c>
      <x:c r="AR2" s="25" t="str">
        <x:v>V41
Surface temperature</x:v>
      </x:c>
      <x:c r="AS2" s="25" t="str">
        <x:v>V42
Surface temperature of sea ice</x:v>
      </x:c>
      <x:c r="AT2" s="25" t="str">
        <x:v>V43
Surface upward latent heat flux</x:v>
      </x:c>
      <x:c r="AU2" s="25" t="str">
        <x:v>V44
Surface upward sensible heat flux</x:v>
      </x:c>
      <x:c r="AV2" s="25" t="str">
        <x:v>V45
Surface upwelling longwave radiation</x:v>
      </x:c>
      <x:c r="AW2" s="25" t="str">
        <x:v>V46
Surface upwelling shortwave radiation</x:v>
      </x:c>
      <x:c r="AX2" s="25" t="str">
        <x:v>V47
TOA incident shortwave radiation</x:v>
      </x:c>
      <x:c r="AY2" s="25" t="str">
        <x:v>V48
TOA outgoing longwave radiation</x:v>
      </x:c>
      <x:c r="AZ2" s="25" t="str">
        <x:v>V49
TOA outgoing shortwave radiation</x:v>
      </x:c>
      <x:c r="BA2" s="25" t="str">
        <x:v>V50
Total cloud cover percentage</x:v>
      </x:c>
      <x:c r="BB2" s="25" t="str">
        <x:v>V51
Total runoff</x:v>
      </x:c>
    </x:row>
    <x:row r="3">
      <x:c r="A3" s="32" t="str">
        <x:v>access_cm2</x:v>
      </x:c>
      <x:c r="B3" s="33" t="n">
        <x:f>COUNTIF(D3:BB3,"&lt;&gt;×")</x:f>
        <x:v>47</x:v>
      </x:c>
      <x:c r="C3" s="34" t="n">
        <x:f>B3/51</x:f>
        <x:v>0.9215686274509803</x:v>
      </x:c>
      <x:c r="D3" s="35" t="str">
        <x:v>M</x:v>
      </x:c>
      <x:c r="E3" s="35" t="str">
        <x:v>×</x:v>
      </x:c>
      <x:c r="F3" s="35" t="str">
        <x:v>M+D</x:v>
      </x:c>
      <x:c r="G3" s="35" t="str">
        <x:v>M+D</x:v>
      </x:c>
      <x:c r="H3" s="35" t="str">
        <x:v>M</x:v>
      </x:c>
      <x:c r="I3" s="35" t="str">
        <x:v>M</x:v>
      </x:c>
      <x:c r="J3" s="35" t="str">
        <x:v>M</x:v>
      </x:c>
      <x:c r="K3" s="35" t="str">
        <x:v>M</x:v>
      </x:c>
      <x:c r="L3" s="35" t="str">
        <x:v>F</x:v>
      </x:c>
      <x:c r="M3" s="35" t="str">
        <x:v>F</x:v>
      </x:c>
      <x:c r="N3" s="35" t="str">
        <x:v>F</x:v>
      </x:c>
      <x:c r="O3" s="35" t="str">
        <x:v>M</x:v>
      </x:c>
      <x:c r="P3" s="35" t="str">
        <x:v>M+D</x:v>
      </x:c>
      <x:c r="Q3" s="35" t="str">
        <x:v>×</x:v>
      </x:c>
      <x:c r="R3" s="35" t="str">
        <x:v>M+D</x:v>
      </x:c>
      <x:c r="S3" s="35" t="str">
        <x:v>M+D</x:v>
      </x:c>
      <x:c r="T3" s="35" t="str">
        <x:v>M</x:v>
      </x:c>
      <x:c r="U3" s="35" t="str">
        <x:v>M</x:v>
      </x:c>
      <x:c r="V3" s="35" t="str">
        <x:v>F</x:v>
      </x:c>
      <x:c r="W3" s="35" t="str">
        <x:v>M+D</x:v>
      </x:c>
      <x:c r="X3" s="35" t="str">
        <x:v>M</x:v>
      </x:c>
      <x:c r="Y3" s="35" t="str">
        <x:v>F</x:v>
      </x:c>
      <x:c r="Z3" s="35" t="str">
        <x:v>F</x:v>
      </x:c>
      <x:c r="AA3" s="35" t="str">
        <x:v>M</x:v>
      </x:c>
      <x:c r="AB3" s="35" t="str">
        <x:v>M</x:v>
      </x:c>
      <x:c r="AC3" s="35" t="str">
        <x:v>M</x:v>
      </x:c>
      <x:c r="AD3" s="35" t="str">
        <x:v>M+D</x:v>
      </x:c>
      <x:c r="AE3" s="35" t="str">
        <x:v>M</x:v>
      </x:c>
      <x:c r="AF3" s="35" t="str">
        <x:v>M</x:v>
      </x:c>
      <x:c r="AG3" s="35" t="str">
        <x:v>M</x:v>
      </x:c>
      <x:c r="AH3" s="35" t="str">
        <x:v>×</x:v>
      </x:c>
      <x:c r="AI3" s="35" t="str">
        <x:v>M</x:v>
      </x:c>
      <x:c r="AJ3" s="35" t="str">
        <x:v>M</x:v>
      </x:c>
      <x:c r="AK3" s="35" t="str">
        <x:v>M</x:v>
      </x:c>
      <x:c r="AL3" s="35" t="str">
        <x:v>F</x:v>
      </x:c>
      <x:c r="AM3" s="35" t="str">
        <x:v>M</x:v>
      </x:c>
      <x:c r="AN3" s="35" t="str">
        <x:v>M</x:v>
      </x:c>
      <x:c r="AO3" s="35" t="str">
        <x:v>M</x:v>
      </x:c>
      <x:c r="AP3" s="35" t="str">
        <x:v>M</x:v>
      </x:c>
      <x:c r="AQ3" s="35" t="str">
        <x:v>×</x:v>
      </x:c>
      <x:c r="AR3" s="35" t="str">
        <x:v>M</x:v>
      </x:c>
      <x:c r="AS3" s="35" t="str">
        <x:v>M</x:v>
      </x:c>
      <x:c r="AT3" s="35" t="str">
        <x:v>M</x:v>
      </x:c>
      <x:c r="AU3" s="35" t="str">
        <x:v>M</x:v>
      </x:c>
      <x:c r="AV3" s="35" t="str">
        <x:v>M</x:v>
      </x:c>
      <x:c r="AW3" s="35" t="str">
        <x:v>M</x:v>
      </x:c>
      <x:c r="AX3" s="35" t="str">
        <x:v>M</x:v>
      </x:c>
      <x:c r="AY3" s="35" t="str">
        <x:v>M</x:v>
      </x:c>
      <x:c r="AZ3" s="35" t="str">
        <x:v>M</x:v>
      </x:c>
      <x:c r="BA3" s="35" t="str">
        <x:v>M</x:v>
      </x:c>
      <x:c r="BB3" s="36" t="str">
        <x:v>M</x:v>
      </x:c>
    </x:row>
    <x:row r="4">
      <x:c r="A4" s="37" t="str">
        <x:v>access_esm1_5</x:v>
      </x:c>
      <x:c r="B4" s="38" t="n">
        <x:f>COUNTIF(D4:BB4,"&lt;&gt;×")</x:f>
        <x:v>47</x:v>
      </x:c>
      <x:c r="C4" s="39" t="n">
        <x:f>B4/51</x:f>
        <x:v>0.9215686274509803</x:v>
      </x:c>
      <x:c r="D4" s="40" t="str">
        <x:v>M</x:v>
      </x:c>
      <x:c r="E4" s="40" t="str">
        <x:v>×</x:v>
      </x:c>
      <x:c r="F4" s="40" t="str">
        <x:v>M+D</x:v>
      </x:c>
      <x:c r="G4" s="40" t="str">
        <x:v>M+D</x:v>
      </x:c>
      <x:c r="H4" s="40" t="str">
        <x:v>M</x:v>
      </x:c>
      <x:c r="I4" s="40" t="str">
        <x:v>M</x:v>
      </x:c>
      <x:c r="J4" s="40" t="str">
        <x:v>M</x:v>
      </x:c>
      <x:c r="K4" s="40" t="str">
        <x:v>M</x:v>
      </x:c>
      <x:c r="L4" s="40" t="str">
        <x:v>F</x:v>
      </x:c>
      <x:c r="M4" s="40" t="str">
        <x:v>F</x:v>
      </x:c>
      <x:c r="N4" s="40" t="str">
        <x:v>F</x:v>
      </x:c>
      <x:c r="O4" s="40" t="str">
        <x:v>M</x:v>
      </x:c>
      <x:c r="P4" s="40" t="str">
        <x:v>M+D</x:v>
      </x:c>
      <x:c r="Q4" s="40" t="str">
        <x:v>×</x:v>
      </x:c>
      <x:c r="R4" s="40" t="str">
        <x:v>M+D</x:v>
      </x:c>
      <x:c r="S4" s="40" t="str">
        <x:v>M+D</x:v>
      </x:c>
      <x:c r="T4" s="40" t="str">
        <x:v>M</x:v>
      </x:c>
      <x:c r="U4" s="40" t="str">
        <x:v>M</x:v>
      </x:c>
      <x:c r="V4" s="40" t="str">
        <x:v>F</x:v>
      </x:c>
      <x:c r="W4" s="40" t="str">
        <x:v>M+D</x:v>
      </x:c>
      <x:c r="X4" s="40" t="str">
        <x:v>M</x:v>
      </x:c>
      <x:c r="Y4" s="40" t="str">
        <x:v>F</x:v>
      </x:c>
      <x:c r="Z4" s="40" t="str">
        <x:v>F</x:v>
      </x:c>
      <x:c r="AA4" s="40" t="str">
        <x:v>M</x:v>
      </x:c>
      <x:c r="AB4" s="40" t="str">
        <x:v>M</x:v>
      </x:c>
      <x:c r="AC4" s="40" t="str">
        <x:v>M</x:v>
      </x:c>
      <x:c r="AD4" s="40" t="str">
        <x:v>M+D</x:v>
      </x:c>
      <x:c r="AE4" s="40" t="str">
        <x:v>M</x:v>
      </x:c>
      <x:c r="AF4" s="40" t="str">
        <x:v>M</x:v>
      </x:c>
      <x:c r="AG4" s="40" t="str">
        <x:v>M</x:v>
      </x:c>
      <x:c r="AH4" s="40" t="str">
        <x:v>×</x:v>
      </x:c>
      <x:c r="AI4" s="40" t="str">
        <x:v>M</x:v>
      </x:c>
      <x:c r="AJ4" s="40" t="str">
        <x:v>M</x:v>
      </x:c>
      <x:c r="AK4" s="40" t="str">
        <x:v>M</x:v>
      </x:c>
      <x:c r="AL4" s="40" t="str">
        <x:v>F</x:v>
      </x:c>
      <x:c r="AM4" s="40" t="str">
        <x:v>M</x:v>
      </x:c>
      <x:c r="AN4" s="40" t="str">
        <x:v>M</x:v>
      </x:c>
      <x:c r="AO4" s="40" t="str">
        <x:v>M</x:v>
      </x:c>
      <x:c r="AP4" s="40" t="str">
        <x:v>M</x:v>
      </x:c>
      <x:c r="AQ4" s="40" t="str">
        <x:v>M</x:v>
      </x:c>
      <x:c r="AR4" s="40" t="str">
        <x:v>M</x:v>
      </x:c>
      <x:c r="AS4" s="40" t="str">
        <x:v>×</x:v>
      </x:c>
      <x:c r="AT4" s="40" t="str">
        <x:v>M</x:v>
      </x:c>
      <x:c r="AU4" s="40" t="str">
        <x:v>M</x:v>
      </x:c>
      <x:c r="AV4" s="40" t="str">
        <x:v>M</x:v>
      </x:c>
      <x:c r="AW4" s="40" t="str">
        <x:v>M</x:v>
      </x:c>
      <x:c r="AX4" s="40" t="str">
        <x:v>M</x:v>
      </x:c>
      <x:c r="AY4" s="40" t="str">
        <x:v>M</x:v>
      </x:c>
      <x:c r="AZ4" s="40" t="str">
        <x:v>M</x:v>
      </x:c>
      <x:c r="BA4" s="40" t="str">
        <x:v>M</x:v>
      </x:c>
      <x:c r="BB4" s="41" t="str">
        <x:v>M</x:v>
      </x:c>
    </x:row>
    <x:row r="5">
      <x:c r="A5" s="37" t="str">
        <x:v>awi_cm_1_1_mr</x:v>
      </x:c>
      <x:c r="B5" s="38" t="n">
        <x:f>COUNTIF(D5:BB5,"&lt;&gt;×")</x:f>
        <x:v>34</x:v>
      </x:c>
      <x:c r="C5" s="39" t="n">
        <x:f>B5/51</x:f>
        <x:v>0.6666666666666666</x:v>
      </x:c>
      <x:c r="D5" s="40" t="str">
        <x:v>M</x:v>
      </x:c>
      <x:c r="E5" s="40" t="str">
        <x:v>F</x:v>
      </x:c>
      <x:c r="F5" s="40" t="str">
        <x:v>M+D</x:v>
      </x:c>
      <x:c r="G5" s="40" t="str">
        <x:v>M+D</x:v>
      </x:c>
      <x:c r="H5" s="40" t="str">
        <x:v>M</x:v>
      </x:c>
      <x:c r="I5" s="40" t="str">
        <x:v>M</x:v>
      </x:c>
      <x:c r="J5" s="40" t="str">
        <x:v>M</x:v>
      </x:c>
      <x:c r="K5" s="40" t="str">
        <x:v>M</x:v>
      </x:c>
      <x:c r="L5" s="40" t="str">
        <x:v>×</x:v>
      </x:c>
      <x:c r="M5" s="40" t="str">
        <x:v>×</x:v>
      </x:c>
      <x:c r="N5" s="40" t="str">
        <x:v>×</x:v>
      </x:c>
      <x:c r="O5" s="40" t="str">
        <x:v>×</x:v>
      </x:c>
      <x:c r="P5" s="40" t="str">
        <x:v>M+D</x:v>
      </x:c>
      <x:c r="Q5" s="40" t="str">
        <x:v>×</x:v>
      </x:c>
      <x:c r="R5" s="40" t="str">
        <x:v>M</x:v>
      </x:c>
      <x:c r="S5" s="40" t="str">
        <x:v>M</x:v>
      </x:c>
      <x:c r="T5" s="40" t="str">
        <x:v>M</x:v>
      </x:c>
      <x:c r="U5" s="40" t="str">
        <x:v>M</x:v>
      </x:c>
      <x:c r="V5" s="40" t="str">
        <x:v>F</x:v>
      </x:c>
      <x:c r="W5" s="40" t="str">
        <x:v>M</x:v>
      </x:c>
      <x:c r="X5" s="40" t="str">
        <x:v>M</x:v>
      </x:c>
      <x:c r="Y5" s="40" t="str">
        <x:v>×</x:v>
      </x:c>
      <x:c r="Z5" s="40" t="str">
        <x:v>×</x:v>
      </x:c>
      <x:c r="AA5" s="40" t="str">
        <x:v>×</x:v>
      </x:c>
      <x:c r="AB5" s="40" t="str">
        <x:v>×</x:v>
      </x:c>
      <x:c r="AC5" s="40" t="str">
        <x:v>×</x:v>
      </x:c>
      <x:c r="AD5" s="40" t="str">
        <x:v>M</x:v>
      </x:c>
      <x:c r="AE5" s="40" t="str">
        <x:v>×</x:v>
      </x:c>
      <x:c r="AF5" s="40" t="str">
        <x:v>×</x:v>
      </x:c>
      <x:c r="AG5" s="40" t="str">
        <x:v>×</x:v>
      </x:c>
      <x:c r="AH5" s="40" t="str">
        <x:v>×</x:v>
      </x:c>
      <x:c r="AI5" s="40" t="str">
        <x:v>M</x:v>
      </x:c>
      <x:c r="AJ5" s="40" t="str">
        <x:v>M</x:v>
      </x:c>
      <x:c r="AK5" s="40" t="str">
        <x:v>M</x:v>
      </x:c>
      <x:c r="AL5" s="40" t="str">
        <x:v>F</x:v>
      </x:c>
      <x:c r="AM5" s="40" t="str">
        <x:v>M</x:v>
      </x:c>
      <x:c r="AN5" s="40" t="str">
        <x:v>M</x:v>
      </x:c>
      <x:c r="AO5" s="40" t="str">
        <x:v>M</x:v>
      </x:c>
      <x:c r="AP5" s="40" t="str">
        <x:v>M</x:v>
      </x:c>
      <x:c r="AQ5" s="40" t="str">
        <x:v>×</x:v>
      </x:c>
      <x:c r="AR5" s="40" t="str">
        <x:v>M</x:v>
      </x:c>
      <x:c r="AS5" s="40" t="str">
        <x:v>×</x:v>
      </x:c>
      <x:c r="AT5" s="40" t="str">
        <x:v>M</x:v>
      </x:c>
      <x:c r="AU5" s="40" t="str">
        <x:v>M</x:v>
      </x:c>
      <x:c r="AV5" s="40" t="str">
        <x:v>M</x:v>
      </x:c>
      <x:c r="AW5" s="40" t="str">
        <x:v>M</x:v>
      </x:c>
      <x:c r="AX5" s="40" t="str">
        <x:v>M</x:v>
      </x:c>
      <x:c r="AY5" s="40" t="str">
        <x:v>M</x:v>
      </x:c>
      <x:c r="AZ5" s="40" t="str">
        <x:v>M</x:v>
      </x:c>
      <x:c r="BA5" s="40" t="str">
        <x:v>M</x:v>
      </x:c>
      <x:c r="BB5" s="41" t="str">
        <x:v>×</x:v>
      </x:c>
    </x:row>
    <x:row r="6">
      <x:c r="A6" s="37" t="str">
        <x:v>awi_esm_1_1_lr</x:v>
      </x:c>
      <x:c r="B6" s="38" t="n">
        <x:f>COUNTIF(D6:BB6,"&lt;&gt;×")</x:f>
        <x:v>40</x:v>
      </x:c>
      <x:c r="C6" s="39" t="n">
        <x:f>B6/51</x:f>
        <x:v>0.7843137254901961</x:v>
      </x:c>
      <x:c r="D6" s="40" t="str">
        <x:v>M</x:v>
      </x:c>
      <x:c r="E6" s="40" t="str">
        <x:v>F</x:v>
      </x:c>
      <x:c r="F6" s="40" t="str">
        <x:v>M+D</x:v>
      </x:c>
      <x:c r="G6" s="40" t="str">
        <x:v>M+D</x:v>
      </x:c>
      <x:c r="H6" s="40" t="str">
        <x:v>M</x:v>
      </x:c>
      <x:c r="I6" s="40" t="str">
        <x:v>M</x:v>
      </x:c>
      <x:c r="J6" s="40" t="str">
        <x:v>M</x:v>
      </x:c>
      <x:c r="K6" s="40" t="str">
        <x:v>M</x:v>
      </x:c>
      <x:c r="L6" s="40" t="str">
        <x:v>F</x:v>
      </x:c>
      <x:c r="M6" s="40" t="str">
        <x:v>×</x:v>
      </x:c>
      <x:c r="N6" s="40" t="str">
        <x:v>F</x:v>
      </x:c>
      <x:c r="O6" s="40" t="str">
        <x:v>M</x:v>
      </x:c>
      <x:c r="P6" s="40" t="str">
        <x:v>M+D</x:v>
      </x:c>
      <x:c r="Q6" s="40" t="str">
        <x:v>×</x:v>
      </x:c>
      <x:c r="R6" s="40" t="str">
        <x:v>M+D</x:v>
      </x:c>
      <x:c r="S6" s="40" t="str">
        <x:v>M+D</x:v>
      </x:c>
      <x:c r="T6" s="40" t="str">
        <x:v>M</x:v>
      </x:c>
      <x:c r="U6" s="40" t="str">
        <x:v>M</x:v>
      </x:c>
      <x:c r="V6" s="40" t="str">
        <x:v>F</x:v>
      </x:c>
      <x:c r="W6" s="40" t="str">
        <x:v>M+D</x:v>
      </x:c>
      <x:c r="X6" s="40" t="str">
        <x:v>M</x:v>
      </x:c>
      <x:c r="Y6" s="40" t="str">
        <x:v>×</x:v>
      </x:c>
      <x:c r="Z6" s="40" t="str">
        <x:v>×</x:v>
      </x:c>
      <x:c r="AA6" s="40" t="str">
        <x:v>×</x:v>
      </x:c>
      <x:c r="AB6" s="40" t="str">
        <x:v>×</x:v>
      </x:c>
      <x:c r="AC6" s="40" t="str">
        <x:v>×</x:v>
      </x:c>
      <x:c r="AD6" s="40" t="str">
        <x:v>M+D</x:v>
      </x:c>
      <x:c r="AE6" s="40" t="str">
        <x:v>×</x:v>
      </x:c>
      <x:c r="AF6" s="40" t="str">
        <x:v>×</x:v>
      </x:c>
      <x:c r="AG6" s="40" t="str">
        <x:v>×</x:v>
      </x:c>
      <x:c r="AH6" s="40" t="str">
        <x:v>×</x:v>
      </x:c>
      <x:c r="AI6" s="40" t="str">
        <x:v>M</x:v>
      </x:c>
      <x:c r="AJ6" s="40" t="str">
        <x:v>M</x:v>
      </x:c>
      <x:c r="AK6" s="40" t="str">
        <x:v>M</x:v>
      </x:c>
      <x:c r="AL6" s="40" t="str">
        <x:v>F</x:v>
      </x:c>
      <x:c r="AM6" s="40" t="str">
        <x:v>M</x:v>
      </x:c>
      <x:c r="AN6" s="40" t="str">
        <x:v>M</x:v>
      </x:c>
      <x:c r="AO6" s="40" t="str">
        <x:v>M</x:v>
      </x:c>
      <x:c r="AP6" s="40" t="str">
        <x:v>M</x:v>
      </x:c>
      <x:c r="AQ6" s="40" t="str">
        <x:v>M</x:v>
      </x:c>
      <x:c r="AR6" s="40" t="str">
        <x:v>M</x:v>
      </x:c>
      <x:c r="AS6" s="40" t="str">
        <x:v>M</x:v>
      </x:c>
      <x:c r="AT6" s="40" t="str">
        <x:v>M</x:v>
      </x:c>
      <x:c r="AU6" s="40" t="str">
        <x:v>M</x:v>
      </x:c>
      <x:c r="AV6" s="40" t="str">
        <x:v>M</x:v>
      </x:c>
      <x:c r="AW6" s="40" t="str">
        <x:v>M</x:v>
      </x:c>
      <x:c r="AX6" s="40" t="str">
        <x:v>M</x:v>
      </x:c>
      <x:c r="AY6" s="40" t="str">
        <x:v>M</x:v>
      </x:c>
      <x:c r="AZ6" s="40" t="str">
        <x:v>M</x:v>
      </x:c>
      <x:c r="BA6" s="40" t="str">
        <x:v>M</x:v>
      </x:c>
      <x:c r="BB6" s="41" t="str">
        <x:v>M</x:v>
      </x:c>
    </x:row>
    <x:row r="7">
      <x:c r="A7" s="37" t="str">
        <x:v>bcc_csm2_mr</x:v>
      </x:c>
      <x:c r="B7" s="38" t="n">
        <x:f>COUNTIF(D7:BB7,"&lt;&gt;×")</x:f>
        <x:v>25</x:v>
      </x:c>
      <x:c r="C7" s="39" t="n">
        <x:f>B7/51</x:f>
        <x:v>0.49019607843137253</x:v>
      </x:c>
      <x:c r="D7" s="40" t="str">
        <x:v>×</x:v>
      </x:c>
      <x:c r="E7" s="40" t="str">
        <x:v>×</x:v>
      </x:c>
      <x:c r="F7" s="40" t="str">
        <x:v>×</x:v>
      </x:c>
      <x:c r="G7" s="40" t="str">
        <x:v>D</x:v>
      </x:c>
      <x:c r="H7" s="40" t="str">
        <x:v>M</x:v>
      </x:c>
      <x:c r="I7" s="40" t="str">
        <x:v>×</x:v>
      </x:c>
      <x:c r="J7" s="40" t="str">
        <x:v>M</x:v>
      </x:c>
      <x:c r="K7" s="40" t="str">
        <x:v>×</x:v>
      </x:c>
      <x:c r="L7" s="40" t="str">
        <x:v>×</x:v>
      </x:c>
      <x:c r="M7" s="40" t="str">
        <x:v>×</x:v>
      </x:c>
      <x:c r="N7" s="40" t="str">
        <x:v>×</x:v>
      </x:c>
      <x:c r="O7" s="40" t="str">
        <x:v>M</x:v>
      </x:c>
      <x:c r="P7" s="40" t="str">
        <x:v>M+D</x:v>
      </x:c>
      <x:c r="Q7" s="40" t="str">
        <x:v>×</x:v>
      </x:c>
      <x:c r="R7" s="40" t="str">
        <x:v>×</x:v>
      </x:c>
      <x:c r="S7" s="40" t="str">
        <x:v>M+D</x:v>
      </x:c>
      <x:c r="T7" s="40" t="str">
        <x:v>M</x:v>
      </x:c>
      <x:c r="U7" s="40" t="str">
        <x:v>×</x:v>
      </x:c>
      <x:c r="V7" s="40" t="str">
        <x:v>×</x:v>
      </x:c>
      <x:c r="W7" s="40" t="str">
        <x:v>M+D</x:v>
      </x:c>
      <x:c r="X7" s="40" t="str">
        <x:v>×</x:v>
      </x:c>
      <x:c r="Y7" s="40" t="str">
        <x:v>×</x:v>
      </x:c>
      <x:c r="Z7" s="40" t="str">
        <x:v>×</x:v>
      </x:c>
      <x:c r="AA7" s="40" t="str">
        <x:v>×</x:v>
      </x:c>
      <x:c r="AB7" s="40" t="str">
        <x:v>×</x:v>
      </x:c>
      <x:c r="AC7" s="40" t="str">
        <x:v>×</x:v>
      </x:c>
      <x:c r="AD7" s="40" t="str">
        <x:v>M+D</x:v>
      </x:c>
      <x:c r="AE7" s="40" t="str">
        <x:v>×</x:v>
      </x:c>
      <x:c r="AF7" s="40" t="str">
        <x:v>×</x:v>
      </x:c>
      <x:c r="AG7" s="40" t="str">
        <x:v>×</x:v>
      </x:c>
      <x:c r="AH7" s="40" t="str">
        <x:v>M</x:v>
      </x:c>
      <x:c r="AI7" s="40" t="str">
        <x:v>M</x:v>
      </x:c>
      <x:c r="AJ7" s="40" t="str">
        <x:v>×</x:v>
      </x:c>
      <x:c r="AK7" s="40" t="str">
        <x:v>M</x:v>
      </x:c>
      <x:c r="AL7" s="40" t="str">
        <x:v>×</x:v>
      </x:c>
      <x:c r="AM7" s="40" t="str">
        <x:v>M</x:v>
      </x:c>
      <x:c r="AN7" s="40" t="str">
        <x:v>M</x:v>
      </x:c>
      <x:c r="AO7" s="40" t="str">
        <x:v>M</x:v>
      </x:c>
      <x:c r="AP7" s="40" t="str">
        <x:v>M</x:v>
      </x:c>
      <x:c r="AQ7" s="40" t="str">
        <x:v>M</x:v>
      </x:c>
      <x:c r="AR7" s="40" t="str">
        <x:v>M</x:v>
      </x:c>
      <x:c r="AS7" s="40" t="str">
        <x:v>×</x:v>
      </x:c>
      <x:c r="AT7" s="40" t="str">
        <x:v>M</x:v>
      </x:c>
      <x:c r="AU7" s="40" t="str">
        <x:v>×</x:v>
      </x:c>
      <x:c r="AV7" s="40" t="str">
        <x:v>M</x:v>
      </x:c>
      <x:c r="AW7" s="40" t="str">
        <x:v>M</x:v>
      </x:c>
      <x:c r="AX7" s="40" t="str">
        <x:v>×</x:v>
      </x:c>
      <x:c r="AY7" s="40" t="str">
        <x:v>M</x:v>
      </x:c>
      <x:c r="AZ7" s="40" t="str">
        <x:v>M</x:v>
      </x:c>
      <x:c r="BA7" s="40" t="str">
        <x:v>M</x:v>
      </x:c>
      <x:c r="BB7" s="41" t="str">
        <x:v>M</x:v>
      </x:c>
    </x:row>
    <x:row r="8">
      <x:c r="A8" s="37" t="str">
        <x:v>bcc_esm1</x:v>
      </x:c>
      <x:c r="B8" s="38" t="n">
        <x:f>COUNTIF(D8:BB8,"&lt;&gt;×")</x:f>
        <x:v>35</x:v>
      </x:c>
      <x:c r="C8" s="39" t="n">
        <x:f>B8/51</x:f>
        <x:v>0.6862745098039216</x:v>
      </x:c>
      <x:c r="D8" s="40" t="str">
        <x:v>M</x:v>
      </x:c>
      <x:c r="E8" s="40" t="str">
        <x:v>×</x:v>
      </x:c>
      <x:c r="F8" s="40" t="str">
        <x:v>M+D</x:v>
      </x:c>
      <x:c r="G8" s="40" t="str">
        <x:v>M+D</x:v>
      </x:c>
      <x:c r="H8" s="40" t="str">
        <x:v>M</x:v>
      </x:c>
      <x:c r="I8" s="40" t="str">
        <x:v>M</x:v>
      </x:c>
      <x:c r="J8" s="40" t="str">
        <x:v>M</x:v>
      </x:c>
      <x:c r="K8" s="40" t="str">
        <x:v>M</x:v>
      </x:c>
      <x:c r="L8" s="40" t="str">
        <x:v>×</x:v>
      </x:c>
      <x:c r="M8" s="40" t="str">
        <x:v>×</x:v>
      </x:c>
      <x:c r="N8" s="40" t="str">
        <x:v>×</x:v>
      </x:c>
      <x:c r="O8" s="40" t="str">
        <x:v>M</x:v>
      </x:c>
      <x:c r="P8" s="40" t="str">
        <x:v>M+D</x:v>
      </x:c>
      <x:c r="Q8" s="40" t="str">
        <x:v>×</x:v>
      </x:c>
      <x:c r="R8" s="40" t="str">
        <x:v>M</x:v>
      </x:c>
      <x:c r="S8" s="40" t="str">
        <x:v>M+D</x:v>
      </x:c>
      <x:c r="T8" s="40" t="str">
        <x:v>M</x:v>
      </x:c>
      <x:c r="U8" s="40" t="str">
        <x:v>M</x:v>
      </x:c>
      <x:c r="V8" s="40" t="str">
        <x:v>×</x:v>
      </x:c>
      <x:c r="W8" s="40" t="str">
        <x:v>M+D</x:v>
      </x:c>
      <x:c r="X8" s="40" t="str">
        <x:v>M</x:v>
      </x:c>
      <x:c r="Y8" s="40" t="str">
        <x:v>×</x:v>
      </x:c>
      <x:c r="Z8" s="40" t="str">
        <x:v>×</x:v>
      </x:c>
      <x:c r="AA8" s="40" t="str">
        <x:v>×</x:v>
      </x:c>
      <x:c r="AB8" s="40" t="str">
        <x:v>×</x:v>
      </x:c>
      <x:c r="AC8" s="40" t="str">
        <x:v>×</x:v>
      </x:c>
      <x:c r="AD8" s="40" t="str">
        <x:v>M+D</x:v>
      </x:c>
      <x:c r="AE8" s="40" t="str">
        <x:v>×</x:v>
      </x:c>
      <x:c r="AF8" s="40" t="str">
        <x:v>×</x:v>
      </x:c>
      <x:c r="AG8" s="40" t="str">
        <x:v>×</x:v>
      </x:c>
      <x:c r="AH8" s="40" t="str">
        <x:v>M</x:v>
      </x:c>
      <x:c r="AI8" s="40" t="str">
        <x:v>M</x:v>
      </x:c>
      <x:c r="AJ8" s="40" t="str">
        <x:v>M</x:v>
      </x:c>
      <x:c r="AK8" s="40" t="str">
        <x:v>M</x:v>
      </x:c>
      <x:c r="AL8" s="40" t="str">
        <x:v>×</x:v>
      </x:c>
      <x:c r="AM8" s="40" t="str">
        <x:v>M</x:v>
      </x:c>
      <x:c r="AN8" s="40" t="str">
        <x:v>M</x:v>
      </x:c>
      <x:c r="AO8" s="40" t="str">
        <x:v>M</x:v>
      </x:c>
      <x:c r="AP8" s="40" t="str">
        <x:v>M</x:v>
      </x:c>
      <x:c r="AQ8" s="40" t="str">
        <x:v>M</x:v>
      </x:c>
      <x:c r="AR8" s="40" t="str">
        <x:v>M</x:v>
      </x:c>
      <x:c r="AS8" s="40" t="str">
        <x:v>×</x:v>
      </x:c>
      <x:c r="AT8" s="40" t="str">
        <x:v>M</x:v>
      </x:c>
      <x:c r="AU8" s="40" t="str">
        <x:v>M</x:v>
      </x:c>
      <x:c r="AV8" s="40" t="str">
        <x:v>M</x:v>
      </x:c>
      <x:c r="AW8" s="40" t="str">
        <x:v>M</x:v>
      </x:c>
      <x:c r="AX8" s="40" t="str">
        <x:v>M</x:v>
      </x:c>
      <x:c r="AY8" s="40" t="str">
        <x:v>M</x:v>
      </x:c>
      <x:c r="AZ8" s="40" t="str">
        <x:v>M</x:v>
      </x:c>
      <x:c r="BA8" s="40" t="str">
        <x:v>M</x:v>
      </x:c>
      <x:c r="BB8" s="41" t="str">
        <x:v>M</x:v>
      </x:c>
    </x:row>
    <x:row r="9">
      <x:c r="A9" s="37" t="str">
        <x:v>cams_csm1_0</x:v>
      </x:c>
      <x:c r="B9" s="38" t="n">
        <x:f>COUNTIF(D9:BB9,"&lt;&gt;×")</x:f>
        <x:v>20</x:v>
      </x:c>
      <x:c r="C9" s="39" t="n">
        <x:f>B9/51</x:f>
        <x:v>0.39215686274509803</x:v>
      </x:c>
      <x:c r="D9" s="40" t="str">
        <x:v>×</x:v>
      </x:c>
      <x:c r="E9" s="40" t="str">
        <x:v>×</x:v>
      </x:c>
      <x:c r="F9" s="40" t="str">
        <x:v>×</x:v>
      </x:c>
      <x:c r="G9" s="40" t="str">
        <x:v>×</x:v>
      </x:c>
      <x:c r="H9" s="40" t="str">
        <x:v>M</x:v>
      </x:c>
      <x:c r="I9" s="40" t="str">
        <x:v>×</x:v>
      </x:c>
      <x:c r="J9" s="40" t="str">
        <x:v>×</x:v>
      </x:c>
      <x:c r="K9" s="40" t="str">
        <x:v>×</x:v>
      </x:c>
      <x:c r="L9" s="40" t="str">
        <x:v>×</x:v>
      </x:c>
      <x:c r="M9" s="40" t="str">
        <x:v>×</x:v>
      </x:c>
      <x:c r="N9" s="40" t="str">
        <x:v>×</x:v>
      </x:c>
      <x:c r="O9" s="40" t="str">
        <x:v>M</x:v>
      </x:c>
      <x:c r="P9" s="40" t="str">
        <x:v>M</x:v>
      </x:c>
      <x:c r="Q9" s="40" t="str">
        <x:v>×</x:v>
      </x:c>
      <x:c r="R9" s="40" t="str">
        <x:v>×</x:v>
      </x:c>
      <x:c r="S9" s="40" t="str">
        <x:v>×</x:v>
      </x:c>
      <x:c r="T9" s="40" t="str">
        <x:v>M</x:v>
      </x:c>
      <x:c r="U9" s="40" t="str">
        <x:v>×</x:v>
      </x:c>
      <x:c r="V9" s="40" t="str">
        <x:v>×</x:v>
      </x:c>
      <x:c r="W9" s="40" t="str">
        <x:v>M</x:v>
      </x:c>
      <x:c r="X9" s="40" t="str">
        <x:v>×</x:v>
      </x:c>
      <x:c r="Y9" s="40" t="str">
        <x:v>×</x:v>
      </x:c>
      <x:c r="Z9" s="40" t="str">
        <x:v>×</x:v>
      </x:c>
      <x:c r="AA9" s="40" t="str">
        <x:v>M</x:v>
      </x:c>
      <x:c r="AB9" s="40" t="str">
        <x:v>×</x:v>
      </x:c>
      <x:c r="AC9" s="40" t="str">
        <x:v>×</x:v>
      </x:c>
      <x:c r="AD9" s="40" t="str">
        <x:v>M</x:v>
      </x:c>
      <x:c r="AE9" s="40" t="str">
        <x:v>M</x:v>
      </x:c>
      <x:c r="AF9" s="40" t="str">
        <x:v>×</x:v>
      </x:c>
      <x:c r="AG9" s="40" t="str">
        <x:v>M</x:v>
      </x:c>
      <x:c r="AH9" s="40" t="str">
        <x:v>×</x:v>
      </x:c>
      <x:c r="AI9" s="40" t="str">
        <x:v>×</x:v>
      </x:c>
      <x:c r="AJ9" s="40" t="str">
        <x:v>×</x:v>
      </x:c>
      <x:c r="AK9" s="40" t="str">
        <x:v>M</x:v>
      </x:c>
      <x:c r="AL9" s="40" t="str">
        <x:v>×</x:v>
      </x:c>
      <x:c r="AM9" s="40" t="str">
        <x:v>×</x:v>
      </x:c>
      <x:c r="AN9" s="40" t="str">
        <x:v>×</x:v>
      </x:c>
      <x:c r="AO9" s="40" t="str">
        <x:v>M</x:v>
      </x:c>
      <x:c r="AP9" s="40" t="str">
        <x:v>M</x:v>
      </x:c>
      <x:c r="AQ9" s="40" t="str">
        <x:v>×</x:v>
      </x:c>
      <x:c r="AR9" s="40" t="str">
        <x:v>M</x:v>
      </x:c>
      <x:c r="AS9" s="40" t="str">
        <x:v>×</x:v>
      </x:c>
      <x:c r="AT9" s="40" t="str">
        <x:v>M</x:v>
      </x:c>
      <x:c r="AU9" s="40" t="str">
        <x:v>M</x:v>
      </x:c>
      <x:c r="AV9" s="40" t="str">
        <x:v>M</x:v>
      </x:c>
      <x:c r="AW9" s="40" t="str">
        <x:v>M</x:v>
      </x:c>
      <x:c r="AX9" s="40" t="str">
        <x:v>×</x:v>
      </x:c>
      <x:c r="AY9" s="40" t="str">
        <x:v>M</x:v>
      </x:c>
      <x:c r="AZ9" s="40" t="str">
        <x:v>M</x:v>
      </x:c>
      <x:c r="BA9" s="40" t="str">
        <x:v>M</x:v>
      </x:c>
      <x:c r="BB9" s="41" t="str">
        <x:v>×</x:v>
      </x:c>
    </x:row>
    <x:row r="10">
      <x:c r="A10" s="37" t="str">
        <x:v>canesm5</x:v>
      </x:c>
      <x:c r="B10" s="38" t="n">
        <x:f>COUNTIF(D10:BB10,"&lt;&gt;×")</x:f>
        <x:v>37</x:v>
      </x:c>
      <x:c r="C10" s="39" t="n">
        <x:f>B10/51</x:f>
        <x:v>0.7254901960784313</x:v>
      </x:c>
      <x:c r="D10" s="40" t="str">
        <x:v>M</x:v>
      </x:c>
      <x:c r="E10" s="40" t="str">
        <x:v>×</x:v>
      </x:c>
      <x:c r="F10" s="40" t="str">
        <x:v>M+D</x:v>
      </x:c>
      <x:c r="G10" s="40" t="str">
        <x:v>M+D</x:v>
      </x:c>
      <x:c r="H10" s="40" t="str">
        <x:v>M</x:v>
      </x:c>
      <x:c r="I10" s="40" t="str">
        <x:v>×</x:v>
      </x:c>
      <x:c r="J10" s="40" t="str">
        <x:v>M</x:v>
      </x:c>
      <x:c r="K10" s="40" t="str">
        <x:v>×</x:v>
      </x:c>
      <x:c r="L10" s="40" t="str">
        <x:v>×</x:v>
      </x:c>
      <x:c r="M10" s="40" t="str">
        <x:v>F</x:v>
      </x:c>
      <x:c r="N10" s="40" t="str">
        <x:v>F</x:v>
      </x:c>
      <x:c r="O10" s="40" t="str">
        <x:v>×</x:v>
      </x:c>
      <x:c r="P10" s="40" t="str">
        <x:v>M+D</x:v>
      </x:c>
      <x:c r="Q10" s="40" t="str">
        <x:v>M</x:v>
      </x:c>
      <x:c r="R10" s="40" t="str">
        <x:v>M+D</x:v>
      </x:c>
      <x:c r="S10" s="40" t="str">
        <x:v>×</x:v>
      </x:c>
      <x:c r="T10" s="40" t="str">
        <x:v>M</x:v>
      </x:c>
      <x:c r="U10" s="40" t="str">
        <x:v>×</x:v>
      </x:c>
      <x:c r="V10" s="40" t="str">
        <x:v>F</x:v>
      </x:c>
      <x:c r="W10" s="40" t="str">
        <x:v>M+D</x:v>
      </x:c>
      <x:c r="X10" s="40" t="str">
        <x:v>×</x:v>
      </x:c>
      <x:c r="Y10" s="40" t="str">
        <x:v>F</x:v>
      </x:c>
      <x:c r="Z10" s="40" t="str">
        <x:v>F</x:v>
      </x:c>
      <x:c r="AA10" s="40" t="str">
        <x:v>M</x:v>
      </x:c>
      <x:c r="AB10" s="40" t="str">
        <x:v>×</x:v>
      </x:c>
      <x:c r="AC10" s="40" t="str">
        <x:v>M</x:v>
      </x:c>
      <x:c r="AD10" s="40" t="str">
        <x:v>M+D</x:v>
      </x:c>
      <x:c r="AE10" s="40" t="str">
        <x:v>M</x:v>
      </x:c>
      <x:c r="AF10" s="40" t="str">
        <x:v>M</x:v>
      </x:c>
      <x:c r="AG10" s="40" t="str">
        <x:v>M</x:v>
      </x:c>
      <x:c r="AH10" s="40" t="str">
        <x:v>M</x:v>
      </x:c>
      <x:c r="AI10" s="40" t="str">
        <x:v>×</x:v>
      </x:c>
      <x:c r="AJ10" s="40" t="str">
        <x:v>M</x:v>
      </x:c>
      <x:c r="AK10" s="40" t="str">
        <x:v>M</x:v>
      </x:c>
      <x:c r="AL10" s="40" t="str">
        <x:v>×</x:v>
      </x:c>
      <x:c r="AM10" s="40" t="str">
        <x:v>M</x:v>
      </x:c>
      <x:c r="AN10" s="40" t="str">
        <x:v>M</x:v>
      </x:c>
      <x:c r="AO10" s="40" t="str">
        <x:v>M</x:v>
      </x:c>
      <x:c r="AP10" s="40" t="str">
        <x:v>M</x:v>
      </x:c>
      <x:c r="AQ10" s="40" t="str">
        <x:v>×</x:v>
      </x:c>
      <x:c r="AR10" s="40" t="str">
        <x:v>M</x:v>
      </x:c>
      <x:c r="AS10" s="40" t="str">
        <x:v>×</x:v>
      </x:c>
      <x:c r="AT10" s="40" t="str">
        <x:v>M</x:v>
      </x:c>
      <x:c r="AU10" s="40" t="str">
        <x:v>M</x:v>
      </x:c>
      <x:c r="AV10" s="40" t="str">
        <x:v>M</x:v>
      </x:c>
      <x:c r="AW10" s="40" t="str">
        <x:v>M</x:v>
      </x:c>
      <x:c r="AX10" s="40" t="str">
        <x:v>×</x:v>
      </x:c>
      <x:c r="AY10" s="40" t="str">
        <x:v>M</x:v>
      </x:c>
      <x:c r="AZ10" s="40" t="str">
        <x:v>M</x:v>
      </x:c>
      <x:c r="BA10" s="40" t="str">
        <x:v>M</x:v>
      </x:c>
      <x:c r="BB10" s="41" t="str">
        <x:v>M</x:v>
      </x:c>
    </x:row>
    <x:row r="11">
      <x:c r="A11" s="37" t="str">
        <x:v>canesm5_canoe</x:v>
      </x:c>
      <x:c r="B11" s="38" t="n">
        <x:f>COUNTIF(D11:BB11,"&lt;&gt;×")</x:f>
        <x:v>49</x:v>
      </x:c>
      <x:c r="C11" s="39" t="n">
        <x:f>B11/51</x:f>
        <x:v>0.9607843137254902</x:v>
      </x:c>
      <x:c r="D11" s="40" t="str">
        <x:v>M</x:v>
      </x:c>
      <x:c r="E11" s="40" t="str">
        <x:v>×</x:v>
      </x:c>
      <x:c r="F11" s="40" t="str">
        <x:v>M</x:v>
      </x:c>
      <x:c r="G11" s="40" t="str">
        <x:v>M</x:v>
      </x:c>
      <x:c r="H11" s="40" t="str">
        <x:v>M</x:v>
      </x:c>
      <x:c r="I11" s="40" t="str">
        <x:v>M</x:v>
      </x:c>
      <x:c r="J11" s="40" t="str">
        <x:v>M</x:v>
      </x:c>
      <x:c r="K11" s="40" t="str">
        <x:v>M</x:v>
      </x:c>
      <x:c r="L11" s="40" t="str">
        <x:v>F</x:v>
      </x:c>
      <x:c r="M11" s="40" t="str">
        <x:v>F</x:v>
      </x:c>
      <x:c r="N11" s="40" t="str">
        <x:v>F</x:v>
      </x:c>
      <x:c r="O11" s="40" t="str">
        <x:v>M</x:v>
      </x:c>
      <x:c r="P11" s="40" t="str">
        <x:v>M</x:v>
      </x:c>
      <x:c r="Q11" s="40" t="str">
        <x:v>M</x:v>
      </x:c>
      <x:c r="R11" s="40" t="str">
        <x:v>M</x:v>
      </x:c>
      <x:c r="S11" s="40" t="str">
        <x:v>M</x:v>
      </x:c>
      <x:c r="T11" s="40" t="str">
        <x:v>M</x:v>
      </x:c>
      <x:c r="U11" s="40" t="str">
        <x:v>M</x:v>
      </x:c>
      <x:c r="V11" s="40" t="str">
        <x:v>F</x:v>
      </x:c>
      <x:c r="W11" s="40" t="str">
        <x:v>M</x:v>
      </x:c>
      <x:c r="X11" s="40" t="str">
        <x:v>M</x:v>
      </x:c>
      <x:c r="Y11" s="40" t="str">
        <x:v>F</x:v>
      </x:c>
      <x:c r="Z11" s="40" t="str">
        <x:v>F</x:v>
      </x:c>
      <x:c r="AA11" s="40" t="str">
        <x:v>M</x:v>
      </x:c>
      <x:c r="AB11" s="40" t="str">
        <x:v>M</x:v>
      </x:c>
      <x:c r="AC11" s="40" t="str">
        <x:v>×</x:v>
      </x:c>
      <x:c r="AD11" s="40" t="str">
        <x:v>M</x:v>
      </x:c>
      <x:c r="AE11" s="40" t="str">
        <x:v>M</x:v>
      </x:c>
      <x:c r="AF11" s="40" t="str">
        <x:v>M</x:v>
      </x:c>
      <x:c r="AG11" s="40" t="str">
        <x:v>M</x:v>
      </x:c>
      <x:c r="AH11" s="40" t="str">
        <x:v>M</x:v>
      </x:c>
      <x:c r="AI11" s="40" t="str">
        <x:v>M</x:v>
      </x:c>
      <x:c r="AJ11" s="40" t="str">
        <x:v>M</x:v>
      </x:c>
      <x:c r="AK11" s="40" t="str">
        <x:v>M</x:v>
      </x:c>
      <x:c r="AL11" s="40" t="str">
        <x:v>F</x:v>
      </x:c>
      <x:c r="AM11" s="40" t="str">
        <x:v>M</x:v>
      </x:c>
      <x:c r="AN11" s="40" t="str">
        <x:v>M</x:v>
      </x:c>
      <x:c r="AO11" s="40" t="str">
        <x:v>M</x:v>
      </x:c>
      <x:c r="AP11" s="40" t="str">
        <x:v>M</x:v>
      </x:c>
      <x:c r="AQ11" s="40" t="str">
        <x:v>M</x:v>
      </x:c>
      <x:c r="AR11" s="40" t="str">
        <x:v>M</x:v>
      </x:c>
      <x:c r="AS11" s="40" t="str">
        <x:v>M</x:v>
      </x:c>
      <x:c r="AT11" s="40" t="str">
        <x:v>M</x:v>
      </x:c>
      <x:c r="AU11" s="40" t="str">
        <x:v>M</x:v>
      </x:c>
      <x:c r="AV11" s="40" t="str">
        <x:v>M</x:v>
      </x:c>
      <x:c r="AW11" s="40" t="str">
        <x:v>M</x:v>
      </x:c>
      <x:c r="AX11" s="40" t="str">
        <x:v>M</x:v>
      </x:c>
      <x:c r="AY11" s="40" t="str">
        <x:v>M</x:v>
      </x:c>
      <x:c r="AZ11" s="40" t="str">
        <x:v>M</x:v>
      </x:c>
      <x:c r="BA11" s="40" t="str">
        <x:v>M</x:v>
      </x:c>
      <x:c r="BB11" s="41" t="str">
        <x:v>M</x:v>
      </x:c>
    </x:row>
    <x:row r="12">
      <x:c r="A12" s="37" t="str">
        <x:v>cesm2</x:v>
      </x:c>
      <x:c r="B12" s="38" t="n">
        <x:f>COUNTIF(D12:BB12,"&lt;&gt;×")</x:f>
        <x:v>35</x:v>
      </x:c>
      <x:c r="C12" s="39" t="n">
        <x:f>B12/51</x:f>
        <x:v>0.6862745098039216</x:v>
      </x:c>
      <x:c r="D12" s="40" t="str">
        <x:v>M</x:v>
      </x:c>
      <x:c r="E12" s="40" t="str">
        <x:v>×</x:v>
      </x:c>
      <x:c r="F12" s="40" t="str">
        <x:v>×</x:v>
      </x:c>
      <x:c r="G12" s="40" t="str">
        <x:v>×</x:v>
      </x:c>
      <x:c r="H12" s="40" t="str">
        <x:v>×</x:v>
      </x:c>
      <x:c r="I12" s="40" t="str">
        <x:v>M</x:v>
      </x:c>
      <x:c r="J12" s="40" t="str">
        <x:v>M</x:v>
      </x:c>
      <x:c r="K12" s="40" t="str">
        <x:v>M</x:v>
      </x:c>
      <x:c r="L12" s="40" t="str">
        <x:v>F</x:v>
      </x:c>
      <x:c r="M12" s="40" t="str">
        <x:v>×</x:v>
      </x:c>
      <x:c r="N12" s="40" t="str">
        <x:v>F</x:v>
      </x:c>
      <x:c r="O12" s="40" t="str">
        <x:v>M</x:v>
      </x:c>
      <x:c r="P12" s="40" t="str">
        <x:v>M+D</x:v>
      </x:c>
      <x:c r="Q12" s="40" t="str">
        <x:v>×</x:v>
      </x:c>
      <x:c r="R12" s="40" t="str">
        <x:v>M+D</x:v>
      </x:c>
      <x:c r="S12" s="40" t="str">
        <x:v>M+D</x:v>
      </x:c>
      <x:c r="T12" s="40" t="str">
        <x:v>×</x:v>
      </x:c>
      <x:c r="U12" s="40" t="str">
        <x:v>M</x:v>
      </x:c>
      <x:c r="V12" s="40" t="str">
        <x:v>F</x:v>
      </x:c>
      <x:c r="W12" s="40" t="str">
        <x:v>M+D</x:v>
      </x:c>
      <x:c r="X12" s="40" t="str">
        <x:v>M</x:v>
      </x:c>
      <x:c r="Y12" s="40" t="str">
        <x:v>F</x:v>
      </x:c>
      <x:c r="Z12" s="40" t="str">
        <x:v>×</x:v>
      </x:c>
      <x:c r="AA12" s="40" t="str">
        <x:v>×</x:v>
      </x:c>
      <x:c r="AB12" s="40" t="str">
        <x:v>×</x:v>
      </x:c>
      <x:c r="AC12" s="40" t="str">
        <x:v>×</x:v>
      </x:c>
      <x:c r="AD12" s="40" t="str">
        <x:v>M+D</x:v>
      </x:c>
      <x:c r="AE12" s="40" t="str">
        <x:v>×</x:v>
      </x:c>
      <x:c r="AF12" s="40" t="str">
        <x:v>×</x:v>
      </x:c>
      <x:c r="AG12" s="40" t="str">
        <x:v>×</x:v>
      </x:c>
      <x:c r="AH12" s="40" t="str">
        <x:v>M</x:v>
      </x:c>
      <x:c r="AI12" s="40" t="str">
        <x:v>×</x:v>
      </x:c>
      <x:c r="AJ12" s="40" t="str">
        <x:v>M</x:v>
      </x:c>
      <x:c r="AK12" s="40" t="str">
        <x:v>M</x:v>
      </x:c>
      <x:c r="AL12" s="40" t="str">
        <x:v>F</x:v>
      </x:c>
      <x:c r="AM12" s="40" t="str">
        <x:v>M</x:v>
      </x:c>
      <x:c r="AN12" s="40" t="str">
        <x:v>M</x:v>
      </x:c>
      <x:c r="AO12" s="40" t="str">
        <x:v>M</x:v>
      </x:c>
      <x:c r="AP12" s="40" t="str">
        <x:v>M</x:v>
      </x:c>
      <x:c r="AQ12" s="40" t="str">
        <x:v>M</x:v>
      </x:c>
      <x:c r="AR12" s="40" t="str">
        <x:v>M</x:v>
      </x:c>
      <x:c r="AS12" s="40" t="str">
        <x:v>×</x:v>
      </x:c>
      <x:c r="AT12" s="40" t="str">
        <x:v>M</x:v>
      </x:c>
      <x:c r="AU12" s="40" t="str">
        <x:v>M</x:v>
      </x:c>
      <x:c r="AV12" s="40" t="str">
        <x:v>M</x:v>
      </x:c>
      <x:c r="AW12" s="40" t="str">
        <x:v>M</x:v>
      </x:c>
      <x:c r="AX12" s="40" t="str">
        <x:v>M</x:v>
      </x:c>
      <x:c r="AY12" s="40" t="str">
        <x:v>M</x:v>
      </x:c>
      <x:c r="AZ12" s="40" t="str">
        <x:v>M</x:v>
      </x:c>
      <x:c r="BA12" s="40" t="str">
        <x:v>M</x:v>
      </x:c>
      <x:c r="BB12" s="41" t="str">
        <x:v>M</x:v>
      </x:c>
    </x:row>
    <x:row r="13">
      <x:c r="A13" s="37" t="str">
        <x:v>cesm2_fv2</x:v>
      </x:c>
      <x:c r="B13" s="38" t="n">
        <x:f>COUNTIF(D13:BB13,"&lt;&gt;×")</x:f>
        <x:v>34</x:v>
      </x:c>
      <x:c r="C13" s="39" t="n">
        <x:f>B13/51</x:f>
        <x:v>0.6666666666666666</x:v>
      </x:c>
      <x:c r="D13" s="40" t="str">
        <x:v>M</x:v>
      </x:c>
      <x:c r="E13" s="40" t="str">
        <x:v>×</x:v>
      </x:c>
      <x:c r="F13" s="40" t="str">
        <x:v>×</x:v>
      </x:c>
      <x:c r="G13" s="40" t="str">
        <x:v>×</x:v>
      </x:c>
      <x:c r="H13" s="40" t="str">
        <x:v>×</x:v>
      </x:c>
      <x:c r="I13" s="40" t="str">
        <x:v>M</x:v>
      </x:c>
      <x:c r="J13" s="40" t="str">
        <x:v>M</x:v>
      </x:c>
      <x:c r="K13" s="40" t="str">
        <x:v>M</x:v>
      </x:c>
      <x:c r="L13" s="40" t="str">
        <x:v>F</x:v>
      </x:c>
      <x:c r="M13" s="40" t="str">
        <x:v>×</x:v>
      </x:c>
      <x:c r="N13" s="40" t="str">
        <x:v>F</x:v>
      </x:c>
      <x:c r="O13" s="40" t="str">
        <x:v>M</x:v>
      </x:c>
      <x:c r="P13" s="40" t="str">
        <x:v>M+D</x:v>
      </x:c>
      <x:c r="Q13" s="40" t="str">
        <x:v>×</x:v>
      </x:c>
      <x:c r="R13" s="40" t="str">
        <x:v>M+D</x:v>
      </x:c>
      <x:c r="S13" s="40" t="str">
        <x:v>M+D</x:v>
      </x:c>
      <x:c r="T13" s="40" t="str">
        <x:v>×</x:v>
      </x:c>
      <x:c r="U13" s="40" t="str">
        <x:v>M</x:v>
      </x:c>
      <x:c r="V13" s="40" t="str">
        <x:v>F</x:v>
      </x:c>
      <x:c r="W13" s="40" t="str">
        <x:v>M+D</x:v>
      </x:c>
      <x:c r="X13" s="40" t="str">
        <x:v>M</x:v>
      </x:c>
      <x:c r="Y13" s="40" t="str">
        <x:v>×</x:v>
      </x:c>
      <x:c r="Z13" s="40" t="str">
        <x:v>×</x:v>
      </x:c>
      <x:c r="AA13" s="40" t="str">
        <x:v>×</x:v>
      </x:c>
      <x:c r="AB13" s="40" t="str">
        <x:v>×</x:v>
      </x:c>
      <x:c r="AC13" s="40" t="str">
        <x:v>×</x:v>
      </x:c>
      <x:c r="AD13" s="40" t="str">
        <x:v>M+D</x:v>
      </x:c>
      <x:c r="AE13" s="40" t="str">
        <x:v>×</x:v>
      </x:c>
      <x:c r="AF13" s="40" t="str">
        <x:v>×</x:v>
      </x:c>
      <x:c r="AG13" s="40" t="str">
        <x:v>×</x:v>
      </x:c>
      <x:c r="AH13" s="40" t="str">
        <x:v>M</x:v>
      </x:c>
      <x:c r="AI13" s="40" t="str">
        <x:v>×</x:v>
      </x:c>
      <x:c r="AJ13" s="40" t="str">
        <x:v>M</x:v>
      </x:c>
      <x:c r="AK13" s="40" t="str">
        <x:v>M</x:v>
      </x:c>
      <x:c r="AL13" s="40" t="str">
        <x:v>F</x:v>
      </x:c>
      <x:c r="AM13" s="40" t="str">
        <x:v>M</x:v>
      </x:c>
      <x:c r="AN13" s="40" t="str">
        <x:v>M</x:v>
      </x:c>
      <x:c r="AO13" s="40" t="str">
        <x:v>M</x:v>
      </x:c>
      <x:c r="AP13" s="40" t="str">
        <x:v>M</x:v>
      </x:c>
      <x:c r="AQ13" s="40" t="str">
        <x:v>M</x:v>
      </x:c>
      <x:c r="AR13" s="40" t="str">
        <x:v>M</x:v>
      </x:c>
      <x:c r="AS13" s="40" t="str">
        <x:v>×</x:v>
      </x:c>
      <x:c r="AT13" s="40" t="str">
        <x:v>M</x:v>
      </x:c>
      <x:c r="AU13" s="40" t="str">
        <x:v>M</x:v>
      </x:c>
      <x:c r="AV13" s="40" t="str">
        <x:v>M</x:v>
      </x:c>
      <x:c r="AW13" s="40" t="str">
        <x:v>M</x:v>
      </x:c>
      <x:c r="AX13" s="40" t="str">
        <x:v>M</x:v>
      </x:c>
      <x:c r="AY13" s="40" t="str">
        <x:v>M</x:v>
      </x:c>
      <x:c r="AZ13" s="40" t="str">
        <x:v>M</x:v>
      </x:c>
      <x:c r="BA13" s="40" t="str">
        <x:v>M</x:v>
      </x:c>
      <x:c r="BB13" s="41" t="str">
        <x:v>M</x:v>
      </x:c>
    </x:row>
    <x:row r="14">
      <x:c r="A14" s="37" t="str">
        <x:v>cesm2_waccm</x:v>
      </x:c>
      <x:c r="B14" s="38" t="n">
        <x:f>COUNTIF(D14:BB14,"&lt;&gt;×")</x:f>
        <x:v>35</x:v>
      </x:c>
      <x:c r="C14" s="39" t="n">
        <x:f>B14/51</x:f>
        <x:v>0.6862745098039216</x:v>
      </x:c>
      <x:c r="D14" s="40" t="str">
        <x:v>M</x:v>
      </x:c>
      <x:c r="E14" s="40" t="str">
        <x:v>×</x:v>
      </x:c>
      <x:c r="F14" s="40" t="str">
        <x:v>×</x:v>
      </x:c>
      <x:c r="G14" s="40" t="str">
        <x:v>×</x:v>
      </x:c>
      <x:c r="H14" s="40" t="str">
        <x:v>×</x:v>
      </x:c>
      <x:c r="I14" s="40" t="str">
        <x:v>M</x:v>
      </x:c>
      <x:c r="J14" s="40" t="str">
        <x:v>M</x:v>
      </x:c>
      <x:c r="K14" s="40" t="str">
        <x:v>M</x:v>
      </x:c>
      <x:c r="L14" s="40" t="str">
        <x:v>F</x:v>
      </x:c>
      <x:c r="M14" s="40" t="str">
        <x:v>×</x:v>
      </x:c>
      <x:c r="N14" s="40" t="str">
        <x:v>F</x:v>
      </x:c>
      <x:c r="O14" s="40" t="str">
        <x:v>M</x:v>
      </x:c>
      <x:c r="P14" s="40" t="str">
        <x:v>M+D</x:v>
      </x:c>
      <x:c r="Q14" s="40" t="str">
        <x:v>×</x:v>
      </x:c>
      <x:c r="R14" s="40" t="str">
        <x:v>M+D</x:v>
      </x:c>
      <x:c r="S14" s="40" t="str">
        <x:v>M+D</x:v>
      </x:c>
      <x:c r="T14" s="40" t="str">
        <x:v>×</x:v>
      </x:c>
      <x:c r="U14" s="40" t="str">
        <x:v>M</x:v>
      </x:c>
      <x:c r="V14" s="40" t="str">
        <x:v>F</x:v>
      </x:c>
      <x:c r="W14" s="40" t="str">
        <x:v>M+D</x:v>
      </x:c>
      <x:c r="X14" s="40" t="str">
        <x:v>M</x:v>
      </x:c>
      <x:c r="Y14" s="40" t="str">
        <x:v>F</x:v>
      </x:c>
      <x:c r="Z14" s="40" t="str">
        <x:v>×</x:v>
      </x:c>
      <x:c r="AA14" s="40" t="str">
        <x:v>×</x:v>
      </x:c>
      <x:c r="AB14" s="40" t="str">
        <x:v>×</x:v>
      </x:c>
      <x:c r="AC14" s="40" t="str">
        <x:v>×</x:v>
      </x:c>
      <x:c r="AD14" s="40" t="str">
        <x:v>M+D</x:v>
      </x:c>
      <x:c r="AE14" s="40" t="str">
        <x:v>×</x:v>
      </x:c>
      <x:c r="AF14" s="40" t="str">
        <x:v>×</x:v>
      </x:c>
      <x:c r="AG14" s="40" t="str">
        <x:v>×</x:v>
      </x:c>
      <x:c r="AH14" s="40" t="str">
        <x:v>M</x:v>
      </x:c>
      <x:c r="AI14" s="40" t="str">
        <x:v>×</x:v>
      </x:c>
      <x:c r="AJ14" s="40" t="str">
        <x:v>M</x:v>
      </x:c>
      <x:c r="AK14" s="40" t="str">
        <x:v>M</x:v>
      </x:c>
      <x:c r="AL14" s="40" t="str">
        <x:v>F</x:v>
      </x:c>
      <x:c r="AM14" s="40" t="str">
        <x:v>M</x:v>
      </x:c>
      <x:c r="AN14" s="40" t="str">
        <x:v>M</x:v>
      </x:c>
      <x:c r="AO14" s="40" t="str">
        <x:v>M</x:v>
      </x:c>
      <x:c r="AP14" s="40" t="str">
        <x:v>M</x:v>
      </x:c>
      <x:c r="AQ14" s="40" t="str">
        <x:v>M</x:v>
      </x:c>
      <x:c r="AR14" s="40" t="str">
        <x:v>M</x:v>
      </x:c>
      <x:c r="AS14" s="40" t="str">
        <x:v>×</x:v>
      </x:c>
      <x:c r="AT14" s="40" t="str">
        <x:v>M</x:v>
      </x:c>
      <x:c r="AU14" s="40" t="str">
        <x:v>M</x:v>
      </x:c>
      <x:c r="AV14" s="40" t="str">
        <x:v>M</x:v>
      </x:c>
      <x:c r="AW14" s="40" t="str">
        <x:v>M</x:v>
      </x:c>
      <x:c r="AX14" s="40" t="str">
        <x:v>M</x:v>
      </x:c>
      <x:c r="AY14" s="40" t="str">
        <x:v>M</x:v>
      </x:c>
      <x:c r="AZ14" s="40" t="str">
        <x:v>M</x:v>
      </x:c>
      <x:c r="BA14" s="40" t="str">
        <x:v>M</x:v>
      </x:c>
      <x:c r="BB14" s="41" t="str">
        <x:v>M</x:v>
      </x:c>
    </x:row>
    <x:row r="15">
      <x:c r="A15" s="37" t="str">
        <x:v>cesm2_waccm_fv2</x:v>
      </x:c>
      <x:c r="B15" s="38" t="n">
        <x:f>COUNTIF(D15:BB15,"&lt;&gt;×")</x:f>
        <x:v>35</x:v>
      </x:c>
      <x:c r="C15" s="39" t="n">
        <x:f>B15/51</x:f>
        <x:v>0.6862745098039216</x:v>
      </x:c>
      <x:c r="D15" s="40" t="str">
        <x:v>M</x:v>
      </x:c>
      <x:c r="E15" s="40" t="str">
        <x:v>×</x:v>
      </x:c>
      <x:c r="F15" s="40" t="str">
        <x:v>×</x:v>
      </x:c>
      <x:c r="G15" s="40" t="str">
        <x:v>×</x:v>
      </x:c>
      <x:c r="H15" s="40" t="str">
        <x:v>×</x:v>
      </x:c>
      <x:c r="I15" s="40" t="str">
        <x:v>M</x:v>
      </x:c>
      <x:c r="J15" s="40" t="str">
        <x:v>M</x:v>
      </x:c>
      <x:c r="K15" s="40" t="str">
        <x:v>M</x:v>
      </x:c>
      <x:c r="L15" s="40" t="str">
        <x:v>F</x:v>
      </x:c>
      <x:c r="M15" s="40" t="str">
        <x:v>×</x:v>
      </x:c>
      <x:c r="N15" s="40" t="str">
        <x:v>F</x:v>
      </x:c>
      <x:c r="O15" s="40" t="str">
        <x:v>M</x:v>
      </x:c>
      <x:c r="P15" s="40" t="str">
        <x:v>M+D</x:v>
      </x:c>
      <x:c r="Q15" s="40" t="str">
        <x:v>×</x:v>
      </x:c>
      <x:c r="R15" s="40" t="str">
        <x:v>M+D</x:v>
      </x:c>
      <x:c r="S15" s="40" t="str">
        <x:v>M+D</x:v>
      </x:c>
      <x:c r="T15" s="40" t="str">
        <x:v>×</x:v>
      </x:c>
      <x:c r="U15" s="40" t="str">
        <x:v>M</x:v>
      </x:c>
      <x:c r="V15" s="40" t="str">
        <x:v>F</x:v>
      </x:c>
      <x:c r="W15" s="40" t="str">
        <x:v>M+D</x:v>
      </x:c>
      <x:c r="X15" s="40" t="str">
        <x:v>M</x:v>
      </x:c>
      <x:c r="Y15" s="40" t="str">
        <x:v>F</x:v>
      </x:c>
      <x:c r="Z15" s="40" t="str">
        <x:v>×</x:v>
      </x:c>
      <x:c r="AA15" s="40" t="str">
        <x:v>×</x:v>
      </x:c>
      <x:c r="AB15" s="40" t="str">
        <x:v>×</x:v>
      </x:c>
      <x:c r="AC15" s="40" t="str">
        <x:v>×</x:v>
      </x:c>
      <x:c r="AD15" s="40" t="str">
        <x:v>M+D</x:v>
      </x:c>
      <x:c r="AE15" s="40" t="str">
        <x:v>×</x:v>
      </x:c>
      <x:c r="AF15" s="40" t="str">
        <x:v>×</x:v>
      </x:c>
      <x:c r="AG15" s="40" t="str">
        <x:v>×</x:v>
      </x:c>
      <x:c r="AH15" s="40" t="str">
        <x:v>M</x:v>
      </x:c>
      <x:c r="AI15" s="40" t="str">
        <x:v>×</x:v>
      </x:c>
      <x:c r="AJ15" s="40" t="str">
        <x:v>M</x:v>
      </x:c>
      <x:c r="AK15" s="40" t="str">
        <x:v>M</x:v>
      </x:c>
      <x:c r="AL15" s="40" t="str">
        <x:v>F</x:v>
      </x:c>
      <x:c r="AM15" s="40" t="str">
        <x:v>M</x:v>
      </x:c>
      <x:c r="AN15" s="40" t="str">
        <x:v>M</x:v>
      </x:c>
      <x:c r="AO15" s="40" t="str">
        <x:v>M</x:v>
      </x:c>
      <x:c r="AP15" s="40" t="str">
        <x:v>M</x:v>
      </x:c>
      <x:c r="AQ15" s="40" t="str">
        <x:v>M</x:v>
      </x:c>
      <x:c r="AR15" s="40" t="str">
        <x:v>M</x:v>
      </x:c>
      <x:c r="AS15" s="40" t="str">
        <x:v>×</x:v>
      </x:c>
      <x:c r="AT15" s="40" t="str">
        <x:v>M</x:v>
      </x:c>
      <x:c r="AU15" s="40" t="str">
        <x:v>M</x:v>
      </x:c>
      <x:c r="AV15" s="40" t="str">
        <x:v>M</x:v>
      </x:c>
      <x:c r="AW15" s="40" t="str">
        <x:v>M</x:v>
      </x:c>
      <x:c r="AX15" s="40" t="str">
        <x:v>M</x:v>
      </x:c>
      <x:c r="AY15" s="40" t="str">
        <x:v>M</x:v>
      </x:c>
      <x:c r="AZ15" s="40" t="str">
        <x:v>M</x:v>
      </x:c>
      <x:c r="BA15" s="40" t="str">
        <x:v>M</x:v>
      </x:c>
      <x:c r="BB15" s="41" t="str">
        <x:v>M</x:v>
      </x:c>
    </x:row>
    <x:row r="16">
      <x:c r="A16" s="37" t="str">
        <x:v>ciesm</x:v>
      </x:c>
      <x:c r="B16" s="38" t="n">
        <x:f>COUNTIF(D16:BB16,"&lt;&gt;×")</x:f>
        <x:v>33</x:v>
      </x:c>
      <x:c r="C16" s="39" t="n">
        <x:f>B16/51</x:f>
        <x:v>0.6470588235294118</x:v>
      </x:c>
      <x:c r="D16" s="40" t="str">
        <x:v>M</x:v>
      </x:c>
      <x:c r="E16" s="40" t="str">
        <x:v>×</x:v>
      </x:c>
      <x:c r="F16" s="40" t="str">
        <x:v>M</x:v>
      </x:c>
      <x:c r="G16" s="40" t="str">
        <x:v>M</x:v>
      </x:c>
      <x:c r="H16" s="40" t="str">
        <x:v>×</x:v>
      </x:c>
      <x:c r="I16" s="40" t="str">
        <x:v>M</x:v>
      </x:c>
      <x:c r="J16" s="40" t="str">
        <x:v>×</x:v>
      </x:c>
      <x:c r="K16" s="40" t="str">
        <x:v>M</x:v>
      </x:c>
      <x:c r="L16" s="40" t="str">
        <x:v>×</x:v>
      </x:c>
      <x:c r="M16" s="40" t="str">
        <x:v>F</x:v>
      </x:c>
      <x:c r="N16" s="40" t="str">
        <x:v>×</x:v>
      </x:c>
      <x:c r="O16" s="40" t="str">
        <x:v>×</x:v>
      </x:c>
      <x:c r="P16" s="40" t="str">
        <x:v>M</x:v>
      </x:c>
      <x:c r="Q16" s="40" t="str">
        <x:v>×</x:v>
      </x:c>
      <x:c r="R16" s="40" t="str">
        <x:v>M</x:v>
      </x:c>
      <x:c r="S16" s="40" t="str">
        <x:v>×</x:v>
      </x:c>
      <x:c r="T16" s="40" t="str">
        <x:v>×</x:v>
      </x:c>
      <x:c r="U16" s="40" t="str">
        <x:v>M</x:v>
      </x:c>
      <x:c r="V16" s="40" t="str">
        <x:v>×</x:v>
      </x:c>
      <x:c r="W16" s="40" t="str">
        <x:v>×</x:v>
      </x:c>
      <x:c r="X16" s="40" t="str">
        <x:v>M</x:v>
      </x:c>
      <x:c r="Y16" s="40" t="str">
        <x:v>F</x:v>
      </x:c>
      <x:c r="Z16" s="40" t="str">
        <x:v>F</x:v>
      </x:c>
      <x:c r="AA16" s="40" t="str">
        <x:v>×</x:v>
      </x:c>
      <x:c r="AB16" s="40" t="str">
        <x:v>×</x:v>
      </x:c>
      <x:c r="AC16" s="40" t="str">
        <x:v>×</x:v>
      </x:c>
      <x:c r="AD16" s="40" t="str">
        <x:v>M</x:v>
      </x:c>
      <x:c r="AE16" s="40" t="str">
        <x:v>M</x:v>
      </x:c>
      <x:c r="AF16" s="40" t="str">
        <x:v>M</x:v>
      </x:c>
      <x:c r="AG16" s="40" t="str">
        <x:v>M</x:v>
      </x:c>
      <x:c r="AH16" s="40" t="str">
        <x:v>M</x:v>
      </x:c>
      <x:c r="AI16" s="40" t="str">
        <x:v>×</x:v>
      </x:c>
      <x:c r="AJ16" s="40" t="str">
        <x:v>M</x:v>
      </x:c>
      <x:c r="AK16" s="40" t="str">
        <x:v>M</x:v>
      </x:c>
      <x:c r="AL16" s="40" t="str">
        <x:v>×</x:v>
      </x:c>
      <x:c r="AM16" s="40" t="str">
        <x:v>M</x:v>
      </x:c>
      <x:c r="AN16" s="40" t="str">
        <x:v>M</x:v>
      </x:c>
      <x:c r="AO16" s="40" t="str">
        <x:v>M</x:v>
      </x:c>
      <x:c r="AP16" s="40" t="str">
        <x:v>M</x:v>
      </x:c>
      <x:c r="AQ16" s="40" t="str">
        <x:v>M</x:v>
      </x:c>
      <x:c r="AR16" s="40" t="str">
        <x:v>M</x:v>
      </x:c>
      <x:c r="AS16" s="40" t="str">
        <x:v>×</x:v>
      </x:c>
      <x:c r="AT16" s="40" t="str">
        <x:v>M</x:v>
      </x:c>
      <x:c r="AU16" s="40" t="str">
        <x:v>M</x:v>
      </x:c>
      <x:c r="AV16" s="40" t="str">
        <x:v>M</x:v>
      </x:c>
      <x:c r="AW16" s="40" t="str">
        <x:v>M</x:v>
      </x:c>
      <x:c r="AX16" s="40" t="str">
        <x:v>M</x:v>
      </x:c>
      <x:c r="AY16" s="40" t="str">
        <x:v>M</x:v>
      </x:c>
      <x:c r="AZ16" s="40" t="str">
        <x:v>M</x:v>
      </x:c>
      <x:c r="BA16" s="40" t="str">
        <x:v>×</x:v>
      </x:c>
      <x:c r="BB16" s="41" t="str">
        <x:v>M</x:v>
      </x:c>
    </x:row>
    <x:row r="17">
      <x:c r="A17" s="37" t="str">
        <x:v>cmcc_cm2_hr4</x:v>
      </x:c>
      <x:c r="B17" s="38" t="n">
        <x:f>COUNTIF(D17:BB17,"&lt;&gt;×")</x:f>
        <x:v>41</x:v>
      </x:c>
      <x:c r="C17" s="39" t="n">
        <x:f>B17/51</x:f>
        <x:v>0.803921568627451</x:v>
      </x:c>
      <x:c r="D17" s="40" t="str">
        <x:v>M</x:v>
      </x:c>
      <x:c r="E17" s="40" t="str">
        <x:v>×</x:v>
      </x:c>
      <x:c r="F17" s="40" t="str">
        <x:v>×</x:v>
      </x:c>
      <x:c r="G17" s="40" t="str">
        <x:v>×</x:v>
      </x:c>
      <x:c r="H17" s="40" t="str">
        <x:v>M</x:v>
      </x:c>
      <x:c r="I17" s="40" t="str">
        <x:v>M</x:v>
      </x:c>
      <x:c r="J17" s="40" t="str">
        <x:v>M</x:v>
      </x:c>
      <x:c r="K17" s="40" t="str">
        <x:v>M</x:v>
      </x:c>
      <x:c r="L17" s="40" t="str">
        <x:v>×</x:v>
      </x:c>
      <x:c r="M17" s="40" t="str">
        <x:v>F</x:v>
      </x:c>
      <x:c r="N17" s="40" t="str">
        <x:v>F</x:v>
      </x:c>
      <x:c r="O17" s="40" t="str">
        <x:v>M</x:v>
      </x:c>
      <x:c r="P17" s="40" t="str">
        <x:v>M+D</x:v>
      </x:c>
      <x:c r="Q17" s="40" t="str">
        <x:v>×</x:v>
      </x:c>
      <x:c r="R17" s="40" t="str">
        <x:v>M+D</x:v>
      </x:c>
      <x:c r="S17" s="40" t="str">
        <x:v>M+D</x:v>
      </x:c>
      <x:c r="T17" s="40" t="str">
        <x:v>M</x:v>
      </x:c>
      <x:c r="U17" s="40" t="str">
        <x:v>M</x:v>
      </x:c>
      <x:c r="V17" s="40" t="str">
        <x:v>F</x:v>
      </x:c>
      <x:c r="W17" s="40" t="str">
        <x:v>M+D</x:v>
      </x:c>
      <x:c r="X17" s="40" t="str">
        <x:v>M</x:v>
      </x:c>
      <x:c r="Y17" s="40" t="str">
        <x:v>×</x:v>
      </x:c>
      <x:c r="Z17" s="40" t="str">
        <x:v>F</x:v>
      </x:c>
      <x:c r="AA17" s="40" t="str">
        <x:v>M</x:v>
      </x:c>
      <x:c r="AB17" s="40" t="str">
        <x:v>M</x:v>
      </x:c>
      <x:c r="AC17" s="40" t="str">
        <x:v>×</x:v>
      </x:c>
      <x:c r="AD17" s="40" t="str">
        <x:v>M+D</x:v>
      </x:c>
      <x:c r="AE17" s="40" t="str">
        <x:v>M</x:v>
      </x:c>
      <x:c r="AF17" s="40" t="str">
        <x:v>M</x:v>
      </x:c>
      <x:c r="AG17" s="40" t="str">
        <x:v>M</x:v>
      </x:c>
      <x:c r="AH17" s="40" t="str">
        <x:v>×</x:v>
      </x:c>
      <x:c r="AI17" s="40" t="str">
        <x:v>M</x:v>
      </x:c>
      <x:c r="AJ17" s="40" t="str">
        <x:v>M</x:v>
      </x:c>
      <x:c r="AK17" s="40" t="str">
        <x:v>M</x:v>
      </x:c>
      <x:c r="AL17" s="40" t="str">
        <x:v>F</x:v>
      </x:c>
      <x:c r="AM17" s="40" t="str">
        <x:v>M</x:v>
      </x:c>
      <x:c r="AN17" s="40" t="str">
        <x:v>M</x:v>
      </x:c>
      <x:c r="AO17" s="40" t="str">
        <x:v>M</x:v>
      </x:c>
      <x:c r="AP17" s="40" t="str">
        <x:v>M</x:v>
      </x:c>
      <x:c r="AQ17" s="40" t="str">
        <x:v>×</x:v>
      </x:c>
      <x:c r="AR17" s="40" t="str">
        <x:v>M</x:v>
      </x:c>
      <x:c r="AS17" s="40" t="str">
        <x:v>×</x:v>
      </x:c>
      <x:c r="AT17" s="40" t="str">
        <x:v>M</x:v>
      </x:c>
      <x:c r="AU17" s="40" t="str">
        <x:v>M</x:v>
      </x:c>
      <x:c r="AV17" s="40" t="str">
        <x:v>M</x:v>
      </x:c>
      <x:c r="AW17" s="40" t="str">
        <x:v>M</x:v>
      </x:c>
      <x:c r="AX17" s="40" t="str">
        <x:v>M</x:v>
      </x:c>
      <x:c r="AY17" s="40" t="str">
        <x:v>M</x:v>
      </x:c>
      <x:c r="AZ17" s="40" t="str">
        <x:v>M</x:v>
      </x:c>
      <x:c r="BA17" s="40" t="str">
        <x:v>M</x:v>
      </x:c>
      <x:c r="BB17" s="41" t="str">
        <x:v>M</x:v>
      </x:c>
    </x:row>
    <x:row r="18">
      <x:c r="A18" s="37" t="str">
        <x:v>cmcc_cm2_sr5</x:v>
      </x:c>
      <x:c r="B18" s="38" t="n">
        <x:f>COUNTIF(D18:BB18,"&lt;&gt;×")</x:f>
        <x:v>45</x:v>
      </x:c>
      <x:c r="C18" s="39" t="n">
        <x:f>B18/51</x:f>
        <x:v>0.8823529411764706</x:v>
      </x:c>
      <x:c r="D18" s="40" t="str">
        <x:v>M</x:v>
      </x:c>
      <x:c r="E18" s="40" t="str">
        <x:v>×</x:v>
      </x:c>
      <x:c r="F18" s="40" t="str">
        <x:v>×</x:v>
      </x:c>
      <x:c r="G18" s="40" t="str">
        <x:v>×</x:v>
      </x:c>
      <x:c r="H18" s="40" t="str">
        <x:v>M</x:v>
      </x:c>
      <x:c r="I18" s="40" t="str">
        <x:v>M</x:v>
      </x:c>
      <x:c r="J18" s="40" t="str">
        <x:v>M</x:v>
      </x:c>
      <x:c r="K18" s="40" t="str">
        <x:v>M</x:v>
      </x:c>
      <x:c r="L18" s="40" t="str">
        <x:v>F</x:v>
      </x:c>
      <x:c r="M18" s="40" t="str">
        <x:v>F</x:v>
      </x:c>
      <x:c r="N18" s="40" t="str">
        <x:v>F</x:v>
      </x:c>
      <x:c r="O18" s="40" t="str">
        <x:v>M</x:v>
      </x:c>
      <x:c r="P18" s="40" t="str">
        <x:v>M+D</x:v>
      </x:c>
      <x:c r="Q18" s="40" t="str">
        <x:v>×</x:v>
      </x:c>
      <x:c r="R18" s="40" t="str">
        <x:v>M+D</x:v>
      </x:c>
      <x:c r="S18" s="40" t="str">
        <x:v>M+D</x:v>
      </x:c>
      <x:c r="T18" s="40" t="str">
        <x:v>M</x:v>
      </x:c>
      <x:c r="U18" s="40" t="str">
        <x:v>M</x:v>
      </x:c>
      <x:c r="V18" s="40" t="str">
        <x:v>F</x:v>
      </x:c>
      <x:c r="W18" s="40" t="str">
        <x:v>M+D</x:v>
      </x:c>
      <x:c r="X18" s="40" t="str">
        <x:v>M</x:v>
      </x:c>
      <x:c r="Y18" s="40" t="str">
        <x:v>×</x:v>
      </x:c>
      <x:c r="Z18" s="40" t="str">
        <x:v>F</x:v>
      </x:c>
      <x:c r="AA18" s="40" t="str">
        <x:v>M</x:v>
      </x:c>
      <x:c r="AB18" s="40" t="str">
        <x:v>M</x:v>
      </x:c>
      <x:c r="AC18" s="40" t="str">
        <x:v>M</x:v>
      </x:c>
      <x:c r="AD18" s="40" t="str">
        <x:v>M+D</x:v>
      </x:c>
      <x:c r="AE18" s="40" t="str">
        <x:v>M</x:v>
      </x:c>
      <x:c r="AF18" s="40" t="str">
        <x:v>M</x:v>
      </x:c>
      <x:c r="AG18" s="40" t="str">
        <x:v>M</x:v>
      </x:c>
      <x:c r="AH18" s="40" t="str">
        <x:v>M</x:v>
      </x:c>
      <x:c r="AI18" s="40" t="str">
        <x:v>M</x:v>
      </x:c>
      <x:c r="AJ18" s="40" t="str">
        <x:v>M</x:v>
      </x:c>
      <x:c r="AK18" s="40" t="str">
        <x:v>M</x:v>
      </x:c>
      <x:c r="AL18" s="40" t="str">
        <x:v>F</x:v>
      </x:c>
      <x:c r="AM18" s="40" t="str">
        <x:v>M</x:v>
      </x:c>
      <x:c r="AN18" s="40" t="str">
        <x:v>M</x:v>
      </x:c>
      <x:c r="AO18" s="40" t="str">
        <x:v>M</x:v>
      </x:c>
      <x:c r="AP18" s="40" t="str">
        <x:v>M</x:v>
      </x:c>
      <x:c r="AQ18" s="40" t="str">
        <x:v>×</x:v>
      </x:c>
      <x:c r="AR18" s="40" t="str">
        <x:v>M</x:v>
      </x:c>
      <x:c r="AS18" s="40" t="str">
        <x:v>M</x:v>
      </x:c>
      <x:c r="AT18" s="40" t="str">
        <x:v>M</x:v>
      </x:c>
      <x:c r="AU18" s="40" t="str">
        <x:v>M</x:v>
      </x:c>
      <x:c r="AV18" s="40" t="str">
        <x:v>M</x:v>
      </x:c>
      <x:c r="AW18" s="40" t="str">
        <x:v>M</x:v>
      </x:c>
      <x:c r="AX18" s="40" t="str">
        <x:v>M</x:v>
      </x:c>
      <x:c r="AY18" s="40" t="str">
        <x:v>M</x:v>
      </x:c>
      <x:c r="AZ18" s="40" t="str">
        <x:v>M</x:v>
      </x:c>
      <x:c r="BA18" s="40" t="str">
        <x:v>M</x:v>
      </x:c>
      <x:c r="BB18" s="41" t="str">
        <x:v>M</x:v>
      </x:c>
    </x:row>
    <x:row r="19">
      <x:c r="A19" s="37" t="str">
        <x:v>cmcc_esm2</x:v>
      </x:c>
      <x:c r="B19" s="38" t="n">
        <x:f>COUNTIF(D19:BB19,"&lt;&gt;×")</x:f>
        <x:v>47</x:v>
      </x:c>
      <x:c r="C19" s="39" t="n">
        <x:f>B19/51</x:f>
        <x:v>0.9215686274509803</x:v>
      </x:c>
      <x:c r="D19" s="40" t="str">
        <x:v>M</x:v>
      </x:c>
      <x:c r="E19" s="40" t="str">
        <x:v>×</x:v>
      </x:c>
      <x:c r="F19" s="40" t="str">
        <x:v>M+D</x:v>
      </x:c>
      <x:c r="G19" s="40" t="str">
        <x:v>M+D</x:v>
      </x:c>
      <x:c r="H19" s="40" t="str">
        <x:v>M</x:v>
      </x:c>
      <x:c r="I19" s="40" t="str">
        <x:v>M</x:v>
      </x:c>
      <x:c r="J19" s="40" t="str">
        <x:v>M</x:v>
      </x:c>
      <x:c r="K19" s="40" t="str">
        <x:v>M</x:v>
      </x:c>
      <x:c r="L19" s="40" t="str">
        <x:v>F</x:v>
      </x:c>
      <x:c r="M19" s="40" t="str">
        <x:v>F</x:v>
      </x:c>
      <x:c r="N19" s="40" t="str">
        <x:v>F</x:v>
      </x:c>
      <x:c r="O19" s="40" t="str">
        <x:v>M</x:v>
      </x:c>
      <x:c r="P19" s="40" t="str">
        <x:v>M+D</x:v>
      </x:c>
      <x:c r="Q19" s="40" t="str">
        <x:v>×</x:v>
      </x:c>
      <x:c r="R19" s="40" t="str">
        <x:v>M+D</x:v>
      </x:c>
      <x:c r="S19" s="40" t="str">
        <x:v>M+D</x:v>
      </x:c>
      <x:c r="T19" s="40" t="str">
        <x:v>M</x:v>
      </x:c>
      <x:c r="U19" s="40" t="str">
        <x:v>M</x:v>
      </x:c>
      <x:c r="V19" s="40" t="str">
        <x:v>F</x:v>
      </x:c>
      <x:c r="W19" s="40" t="str">
        <x:v>M+D</x:v>
      </x:c>
      <x:c r="X19" s="40" t="str">
        <x:v>M</x:v>
      </x:c>
      <x:c r="Y19" s="40" t="str">
        <x:v>×</x:v>
      </x:c>
      <x:c r="Z19" s="40" t="str">
        <x:v>F</x:v>
      </x:c>
      <x:c r="AA19" s="40" t="str">
        <x:v>M</x:v>
      </x:c>
      <x:c r="AB19" s="40" t="str">
        <x:v>M</x:v>
      </x:c>
      <x:c r="AC19" s="40" t="str">
        <x:v>M</x:v>
      </x:c>
      <x:c r="AD19" s="40" t="str">
        <x:v>M+D</x:v>
      </x:c>
      <x:c r="AE19" s="40" t="str">
        <x:v>M</x:v>
      </x:c>
      <x:c r="AF19" s="40" t="str">
        <x:v>M</x:v>
      </x:c>
      <x:c r="AG19" s="40" t="str">
        <x:v>M</x:v>
      </x:c>
      <x:c r="AH19" s="40" t="str">
        <x:v>M</x:v>
      </x:c>
      <x:c r="AI19" s="40" t="str">
        <x:v>M</x:v>
      </x:c>
      <x:c r="AJ19" s="40" t="str">
        <x:v>M</x:v>
      </x:c>
      <x:c r="AK19" s="40" t="str">
        <x:v>M</x:v>
      </x:c>
      <x:c r="AL19" s="40" t="str">
        <x:v>F</x:v>
      </x:c>
      <x:c r="AM19" s="40" t="str">
        <x:v>M</x:v>
      </x:c>
      <x:c r="AN19" s="40" t="str">
        <x:v>M</x:v>
      </x:c>
      <x:c r="AO19" s="40" t="str">
        <x:v>M</x:v>
      </x:c>
      <x:c r="AP19" s="40" t="str">
        <x:v>M</x:v>
      </x:c>
      <x:c r="AQ19" s="40" t="str">
        <x:v>×</x:v>
      </x:c>
      <x:c r="AR19" s="40" t="str">
        <x:v>M</x:v>
      </x:c>
      <x:c r="AS19" s="40" t="str">
        <x:v>M</x:v>
      </x:c>
      <x:c r="AT19" s="40" t="str">
        <x:v>M</x:v>
      </x:c>
      <x:c r="AU19" s="40" t="str">
        <x:v>M</x:v>
      </x:c>
      <x:c r="AV19" s="40" t="str">
        <x:v>M</x:v>
      </x:c>
      <x:c r="AW19" s="40" t="str">
        <x:v>M</x:v>
      </x:c>
      <x:c r="AX19" s="40" t="str">
        <x:v>M</x:v>
      </x:c>
      <x:c r="AY19" s="40" t="str">
        <x:v>M</x:v>
      </x:c>
      <x:c r="AZ19" s="40" t="str">
        <x:v>M</x:v>
      </x:c>
      <x:c r="BA19" s="40" t="str">
        <x:v>M</x:v>
      </x:c>
      <x:c r="BB19" s="41" t="str">
        <x:v>M</x:v>
      </x:c>
    </x:row>
    <x:row r="20">
      <x:c r="A20" s="37" t="str">
        <x:v>cnrm_cm6_1</x:v>
      </x:c>
      <x:c r="B20" s="38" t="n">
        <x:f>COUNTIF(D20:BB20,"&lt;&gt;×")</x:f>
        <x:v>39</x:v>
      </x:c>
      <x:c r="C20" s="39" t="n">
        <x:f>B20/51</x:f>
        <x:v>0.7647058823529411</x:v>
      </x:c>
      <x:c r="D20" s="40" t="str">
        <x:v>M</x:v>
      </x:c>
      <x:c r="E20" s="40" t="str">
        <x:v>×</x:v>
      </x:c>
      <x:c r="F20" s="40" t="str">
        <x:v>M+D</x:v>
      </x:c>
      <x:c r="G20" s="40" t="str">
        <x:v>M+D</x:v>
      </x:c>
      <x:c r="H20" s="40" t="str">
        <x:v>M</x:v>
      </x:c>
      <x:c r="I20" s="40" t="str">
        <x:v>M</x:v>
      </x:c>
      <x:c r="J20" s="40" t="str">
        <x:v>×</x:v>
      </x:c>
      <x:c r="K20" s="40" t="str">
        <x:v>M</x:v>
      </x:c>
      <x:c r="L20" s="40" t="str">
        <x:v>F</x:v>
      </x:c>
      <x:c r="M20" s="40" t="str">
        <x:v>F</x:v>
      </x:c>
      <x:c r="N20" s="40" t="str">
        <x:v>×</x:v>
      </x:c>
      <x:c r="O20" s="40" t="str">
        <x:v>×</x:v>
      </x:c>
      <x:c r="P20" s="40" t="str">
        <x:v>M+D</x:v>
      </x:c>
      <x:c r="Q20" s="40" t="str">
        <x:v>M</x:v>
      </x:c>
      <x:c r="R20" s="40" t="str">
        <x:v>M+D</x:v>
      </x:c>
      <x:c r="S20" s="40" t="str">
        <x:v>M+D</x:v>
      </x:c>
      <x:c r="T20" s="40" t="str">
        <x:v>M</x:v>
      </x:c>
      <x:c r="U20" s="40" t="str">
        <x:v>M</x:v>
      </x:c>
      <x:c r="V20" s="40" t="str">
        <x:v>×</x:v>
      </x:c>
      <x:c r="W20" s="40" t="str">
        <x:v>M+D</x:v>
      </x:c>
      <x:c r="X20" s="40" t="str">
        <x:v>M</x:v>
      </x:c>
      <x:c r="Y20" s="40" t="str">
        <x:v>×</x:v>
      </x:c>
      <x:c r="Z20" s="40" t="str">
        <x:v>×</x:v>
      </x:c>
      <x:c r="AA20" s="40" t="str">
        <x:v>M</x:v>
      </x:c>
      <x:c r="AB20" s="40" t="str">
        <x:v>×</x:v>
      </x:c>
      <x:c r="AC20" s="40" t="str">
        <x:v>M</x:v>
      </x:c>
      <x:c r="AD20" s="40" t="str">
        <x:v>×</x:v>
      </x:c>
      <x:c r="AE20" s="40" t="str">
        <x:v>M</x:v>
      </x:c>
      <x:c r="AF20" s="40" t="str">
        <x:v>M</x:v>
      </x:c>
      <x:c r="AG20" s="40" t="str">
        <x:v>M</x:v>
      </x:c>
      <x:c r="AH20" s="40" t="str">
        <x:v>×</x:v>
      </x:c>
      <x:c r="AI20" s="40" t="str">
        <x:v>M</x:v>
      </x:c>
      <x:c r="AJ20" s="40" t="str">
        <x:v>M</x:v>
      </x:c>
      <x:c r="AK20" s="40" t="str">
        <x:v>M</x:v>
      </x:c>
      <x:c r="AL20" s="40" t="str">
        <x:v>×</x:v>
      </x:c>
      <x:c r="AM20" s="40" t="str">
        <x:v>M</x:v>
      </x:c>
      <x:c r="AN20" s="40" t="str">
        <x:v>M</x:v>
      </x:c>
      <x:c r="AO20" s="40" t="str">
        <x:v>M</x:v>
      </x:c>
      <x:c r="AP20" s="40" t="str">
        <x:v>M</x:v>
      </x:c>
      <x:c r="AQ20" s="40" t="str">
        <x:v>×</x:v>
      </x:c>
      <x:c r="AR20" s="40" t="str">
        <x:v>M</x:v>
      </x:c>
      <x:c r="AS20" s="40" t="str">
        <x:v>M</x:v>
      </x:c>
      <x:c r="AT20" s="40" t="str">
        <x:v>M</x:v>
      </x:c>
      <x:c r="AU20" s="40" t="str">
        <x:v>M</x:v>
      </x:c>
      <x:c r="AV20" s="40" t="str">
        <x:v>M</x:v>
      </x:c>
      <x:c r="AW20" s="40" t="str">
        <x:v>M</x:v>
      </x:c>
      <x:c r="AX20" s="40" t="str">
        <x:v>M</x:v>
      </x:c>
      <x:c r="AY20" s="40" t="str">
        <x:v>M</x:v>
      </x:c>
      <x:c r="AZ20" s="40" t="str">
        <x:v>M</x:v>
      </x:c>
      <x:c r="BA20" s="40" t="str">
        <x:v>M</x:v>
      </x:c>
      <x:c r="BB20" s="41" t="str">
        <x:v>M</x:v>
      </x:c>
    </x:row>
    <x:row r="21">
      <x:c r="A21" s="37" t="str">
        <x:v>cnrm_cm6_1_hr</x:v>
      </x:c>
      <x:c r="B21" s="38" t="n">
        <x:f>COUNTIF(D21:BB21,"&lt;&gt;×")</x:f>
        <x:v>40</x:v>
      </x:c>
      <x:c r="C21" s="39" t="n">
        <x:f>B21/51</x:f>
        <x:v>0.7843137254901961</x:v>
      </x:c>
      <x:c r="D21" s="40" t="str">
        <x:v>M</x:v>
      </x:c>
      <x:c r="E21" s="40" t="str">
        <x:v>×</x:v>
      </x:c>
      <x:c r="F21" s="40" t="str">
        <x:v>M+D</x:v>
      </x:c>
      <x:c r="G21" s="40" t="str">
        <x:v>M+D</x:v>
      </x:c>
      <x:c r="H21" s="40" t="str">
        <x:v>M</x:v>
      </x:c>
      <x:c r="I21" s="40" t="str">
        <x:v>×</x:v>
      </x:c>
      <x:c r="J21" s="40" t="str">
        <x:v>M</x:v>
      </x:c>
      <x:c r="K21" s="40" t="str">
        <x:v>M</x:v>
      </x:c>
      <x:c r="L21" s="40" t="str">
        <x:v>F</x:v>
      </x:c>
      <x:c r="M21" s="40" t="str">
        <x:v>F</x:v>
      </x:c>
      <x:c r="N21" s="40" t="str">
        <x:v>×</x:v>
      </x:c>
      <x:c r="O21" s="40" t="str">
        <x:v>M</x:v>
      </x:c>
      <x:c r="P21" s="40" t="str">
        <x:v>M+D</x:v>
      </x:c>
      <x:c r="Q21" s="40" t="str">
        <x:v>M</x:v>
      </x:c>
      <x:c r="R21" s="40" t="str">
        <x:v>M+D</x:v>
      </x:c>
      <x:c r="S21" s="40" t="str">
        <x:v>M+D</x:v>
      </x:c>
      <x:c r="T21" s="40" t="str">
        <x:v>M</x:v>
      </x:c>
      <x:c r="U21" s="40" t="str">
        <x:v>×</x:v>
      </x:c>
      <x:c r="V21" s="40" t="str">
        <x:v>×</x:v>
      </x:c>
      <x:c r="W21" s="40" t="str">
        <x:v>M+D</x:v>
      </x:c>
      <x:c r="X21" s="40" t="str">
        <x:v>M</x:v>
      </x:c>
      <x:c r="Y21" s="40" t="str">
        <x:v>×</x:v>
      </x:c>
      <x:c r="Z21" s="40" t="str">
        <x:v>×</x:v>
      </x:c>
      <x:c r="AA21" s="40" t="str">
        <x:v>M</x:v>
      </x:c>
      <x:c r="AB21" s="40" t="str">
        <x:v>×</x:v>
      </x:c>
      <x:c r="AC21" s="40" t="str">
        <x:v>M</x:v>
      </x:c>
      <x:c r="AD21" s="40" t="str">
        <x:v>M+D</x:v>
      </x:c>
      <x:c r="AE21" s="40" t="str">
        <x:v>M</x:v>
      </x:c>
      <x:c r="AF21" s="40" t="str">
        <x:v>M</x:v>
      </x:c>
      <x:c r="AG21" s="40" t="str">
        <x:v>M</x:v>
      </x:c>
      <x:c r="AH21" s="40" t="str">
        <x:v>×</x:v>
      </x:c>
      <x:c r="AI21" s="40" t="str">
        <x:v>M</x:v>
      </x:c>
      <x:c r="AJ21" s="40" t="str">
        <x:v>M</x:v>
      </x:c>
      <x:c r="AK21" s="40" t="str">
        <x:v>M</x:v>
      </x:c>
      <x:c r="AL21" s="40" t="str">
        <x:v>×</x:v>
      </x:c>
      <x:c r="AM21" s="40" t="str">
        <x:v>M</x:v>
      </x:c>
      <x:c r="AN21" s="40" t="str">
        <x:v>M</x:v>
      </x:c>
      <x:c r="AO21" s="40" t="str">
        <x:v>M</x:v>
      </x:c>
      <x:c r="AP21" s="40" t="str">
        <x:v>M</x:v>
      </x:c>
      <x:c r="AQ21" s="40" t="str">
        <x:v>×</x:v>
      </x:c>
      <x:c r="AR21" s="40" t="str">
        <x:v>M</x:v>
      </x:c>
      <x:c r="AS21" s="40" t="str">
        <x:v>M</x:v>
      </x:c>
      <x:c r="AT21" s="40" t="str">
        <x:v>M</x:v>
      </x:c>
      <x:c r="AU21" s="40" t="str">
        <x:v>M</x:v>
      </x:c>
      <x:c r="AV21" s="40" t="str">
        <x:v>M</x:v>
      </x:c>
      <x:c r="AW21" s="40" t="str">
        <x:v>M</x:v>
      </x:c>
      <x:c r="AX21" s="40" t="str">
        <x:v>M</x:v>
      </x:c>
      <x:c r="AY21" s="40" t="str">
        <x:v>M</x:v>
      </x:c>
      <x:c r="AZ21" s="40" t="str">
        <x:v>M</x:v>
      </x:c>
      <x:c r="BA21" s="40" t="str">
        <x:v>M</x:v>
      </x:c>
      <x:c r="BB21" s="41" t="str">
        <x:v>M</x:v>
      </x:c>
    </x:row>
    <x:row r="22">
      <x:c r="A22" s="37" t="str">
        <x:v>cnrm_esm2_1</x:v>
      </x:c>
      <x:c r="B22" s="38" t="n">
        <x:f>COUNTIF(D22:BB22,"&lt;&gt;×")</x:f>
        <x:v>41</x:v>
      </x:c>
      <x:c r="C22" s="39" t="n">
        <x:f>B22/51</x:f>
        <x:v>0.803921568627451</x:v>
      </x:c>
      <x:c r="D22" s="40" t="str">
        <x:v>M</x:v>
      </x:c>
      <x:c r="E22" s="40" t="str">
        <x:v>×</x:v>
      </x:c>
      <x:c r="F22" s="40" t="str">
        <x:v>M+D</x:v>
      </x:c>
      <x:c r="G22" s="40" t="str">
        <x:v>M+D</x:v>
      </x:c>
      <x:c r="H22" s="40" t="str">
        <x:v>M</x:v>
      </x:c>
      <x:c r="I22" s="40" t="str">
        <x:v>M</x:v>
      </x:c>
      <x:c r="J22" s="40" t="str">
        <x:v>M</x:v>
      </x:c>
      <x:c r="K22" s="40" t="str">
        <x:v>M</x:v>
      </x:c>
      <x:c r="L22" s="40" t="str">
        <x:v>×</x:v>
      </x:c>
      <x:c r="M22" s="40" t="str">
        <x:v>F</x:v>
      </x:c>
      <x:c r="N22" s="40" t="str">
        <x:v>×</x:v>
      </x:c>
      <x:c r="O22" s="40" t="str">
        <x:v>M</x:v>
      </x:c>
      <x:c r="P22" s="40" t="str">
        <x:v>M+D</x:v>
      </x:c>
      <x:c r="Q22" s="40" t="str">
        <x:v>M</x:v>
      </x:c>
      <x:c r="R22" s="40" t="str">
        <x:v>M+D</x:v>
      </x:c>
      <x:c r="S22" s="40" t="str">
        <x:v>M+D</x:v>
      </x:c>
      <x:c r="T22" s="40" t="str">
        <x:v>M</x:v>
      </x:c>
      <x:c r="U22" s="40" t="str">
        <x:v>M</x:v>
      </x:c>
      <x:c r="V22" s="40" t="str">
        <x:v>×</x:v>
      </x:c>
      <x:c r="W22" s="40" t="str">
        <x:v>M+D</x:v>
      </x:c>
      <x:c r="X22" s="40" t="str">
        <x:v>M</x:v>
      </x:c>
      <x:c r="Y22" s="40" t="str">
        <x:v>×</x:v>
      </x:c>
      <x:c r="Z22" s="40" t="str">
        <x:v>×</x:v>
      </x:c>
      <x:c r="AA22" s="40" t="str">
        <x:v>M</x:v>
      </x:c>
      <x:c r="AB22" s="40" t="str">
        <x:v>×</x:v>
      </x:c>
      <x:c r="AC22" s="40" t="str">
        <x:v>M</x:v>
      </x:c>
      <x:c r="AD22" s="40" t="str">
        <x:v>M+D</x:v>
      </x:c>
      <x:c r="AE22" s="40" t="str">
        <x:v>M</x:v>
      </x:c>
      <x:c r="AF22" s="40" t="str">
        <x:v>M</x:v>
      </x:c>
      <x:c r="AG22" s="40" t="str">
        <x:v>M</x:v>
      </x:c>
      <x:c r="AH22" s="40" t="str">
        <x:v>×</x:v>
      </x:c>
      <x:c r="AI22" s="40" t="str">
        <x:v>M</x:v>
      </x:c>
      <x:c r="AJ22" s="40" t="str">
        <x:v>M</x:v>
      </x:c>
      <x:c r="AK22" s="40" t="str">
        <x:v>M</x:v>
      </x:c>
      <x:c r="AL22" s="40" t="str">
        <x:v>×</x:v>
      </x:c>
      <x:c r="AM22" s="40" t="str">
        <x:v>M</x:v>
      </x:c>
      <x:c r="AN22" s="40" t="str">
        <x:v>M</x:v>
      </x:c>
      <x:c r="AO22" s="40" t="str">
        <x:v>M</x:v>
      </x:c>
      <x:c r="AP22" s="40" t="str">
        <x:v>M</x:v>
      </x:c>
      <x:c r="AQ22" s="40" t="str">
        <x:v>×</x:v>
      </x:c>
      <x:c r="AR22" s="40" t="str">
        <x:v>M</x:v>
      </x:c>
      <x:c r="AS22" s="40" t="str">
        <x:v>M</x:v>
      </x:c>
      <x:c r="AT22" s="40" t="str">
        <x:v>M</x:v>
      </x:c>
      <x:c r="AU22" s="40" t="str">
        <x:v>M</x:v>
      </x:c>
      <x:c r="AV22" s="40" t="str">
        <x:v>M</x:v>
      </x:c>
      <x:c r="AW22" s="40" t="str">
        <x:v>M</x:v>
      </x:c>
      <x:c r="AX22" s="40" t="str">
        <x:v>M</x:v>
      </x:c>
      <x:c r="AY22" s="40" t="str">
        <x:v>M</x:v>
      </x:c>
      <x:c r="AZ22" s="40" t="str">
        <x:v>M</x:v>
      </x:c>
      <x:c r="BA22" s="40" t="str">
        <x:v>M</x:v>
      </x:c>
      <x:c r="BB22" s="41" t="str">
        <x:v>M</x:v>
      </x:c>
    </x:row>
    <x:row r="23">
      <x:c r="A23" s="37" t="str">
        <x:v>e3sm_1_0</x:v>
      </x:c>
      <x:c r="B23" s="38" t="n">
        <x:f>COUNTIF(D23:BB23,"&lt;&gt;×")</x:f>
        <x:v>32</x:v>
      </x:c>
      <x:c r="C23" s="39" t="n">
        <x:f>B23/51</x:f>
        <x:v>0.6274509803921569</x:v>
      </x:c>
      <x:c r="D23" s="40" t="str">
        <x:v>×</x:v>
      </x:c>
      <x:c r="E23" s="40" t="str">
        <x:v>×</x:v>
      </x:c>
      <x:c r="F23" s="40" t="str">
        <x:v>×</x:v>
      </x:c>
      <x:c r="G23" s="40" t="str">
        <x:v>×</x:v>
      </x:c>
      <x:c r="H23" s="40" t="str">
        <x:v>×</x:v>
      </x:c>
      <x:c r="I23" s="40" t="str">
        <x:v>M</x:v>
      </x:c>
      <x:c r="J23" s="40" t="str">
        <x:v>M</x:v>
      </x:c>
      <x:c r="K23" s="40" t="str">
        <x:v>M</x:v>
      </x:c>
      <x:c r="L23" s="40" t="str">
        <x:v>F</x:v>
      </x:c>
      <x:c r="M23" s="40" t="str">
        <x:v>F</x:v>
      </x:c>
      <x:c r="N23" s="40" t="str">
        <x:v>×</x:v>
      </x:c>
      <x:c r="O23" s="40" t="str">
        <x:v>M</x:v>
      </x:c>
      <x:c r="P23" s="40" t="str">
        <x:v>M</x:v>
      </x:c>
      <x:c r="Q23" s="40" t="str">
        <x:v>×</x:v>
      </x:c>
      <x:c r="R23" s="40" t="str">
        <x:v>M</x:v>
      </x:c>
      <x:c r="S23" s="40" t="str">
        <x:v>M</x:v>
      </x:c>
      <x:c r="T23" s="40" t="str">
        <x:v>×</x:v>
      </x:c>
      <x:c r="U23" s="40" t="str">
        <x:v>M</x:v>
      </x:c>
      <x:c r="V23" s="40" t="str">
        <x:v>×</x:v>
      </x:c>
      <x:c r="W23" s="40" t="str">
        <x:v>M</x:v>
      </x:c>
      <x:c r="X23" s="40" t="str">
        <x:v>M</x:v>
      </x:c>
      <x:c r="Y23" s="40" t="str">
        <x:v>×</x:v>
      </x:c>
      <x:c r="Z23" s="40" t="str">
        <x:v>×</x:v>
      </x:c>
      <x:c r="AA23" s="40" t="str">
        <x:v>M</x:v>
      </x:c>
      <x:c r="AB23" s="40" t="str">
        <x:v>M</x:v>
      </x:c>
      <x:c r="AC23" s="40" t="str">
        <x:v>M</x:v>
      </x:c>
      <x:c r="AD23" s="40" t="str">
        <x:v>M</x:v>
      </x:c>
      <x:c r="AE23" s="40" t="str">
        <x:v>M</x:v>
      </x:c>
      <x:c r="AF23" s="40" t="str">
        <x:v>M</x:v>
      </x:c>
      <x:c r="AG23" s="40" t="str">
        <x:v>M</x:v>
      </x:c>
      <x:c r="AH23" s="40" t="str">
        <x:v>×</x:v>
      </x:c>
      <x:c r="AI23" s="40" t="str">
        <x:v>M</x:v>
      </x:c>
      <x:c r="AJ23" s="40" t="str">
        <x:v>M</x:v>
      </x:c>
      <x:c r="AK23" s="40" t="str">
        <x:v>M</x:v>
      </x:c>
      <x:c r="AL23" s="40" t="str">
        <x:v>F</x:v>
      </x:c>
      <x:c r="AM23" s="40" t="str">
        <x:v>×</x:v>
      </x:c>
      <x:c r="AN23" s="40" t="str">
        <x:v>M</x:v>
      </x:c>
      <x:c r="AO23" s="40" t="str">
        <x:v>×</x:v>
      </x:c>
      <x:c r="AP23" s="40" t="str">
        <x:v>M</x:v>
      </x:c>
      <x:c r="AQ23" s="40" t="str">
        <x:v>×</x:v>
      </x:c>
      <x:c r="AR23" s="40" t="str">
        <x:v>×</x:v>
      </x:c>
      <x:c r="AS23" s="40" t="str">
        <x:v>M</x:v>
      </x:c>
      <x:c r="AT23" s="40" t="str">
        <x:v>M</x:v>
      </x:c>
      <x:c r="AU23" s="40" t="str">
        <x:v>M</x:v>
      </x:c>
      <x:c r="AV23" s="40" t="str">
        <x:v>M</x:v>
      </x:c>
      <x:c r="AW23" s="40" t="str">
        <x:v>×</x:v>
      </x:c>
      <x:c r="AX23" s="40" t="str">
        <x:v>×</x:v>
      </x:c>
      <x:c r="AY23" s="40" t="str">
        <x:v>M</x:v>
      </x:c>
      <x:c r="AZ23" s="40" t="str">
        <x:v>×</x:v>
      </x:c>
      <x:c r="BA23" s="40" t="str">
        <x:v>M</x:v>
      </x:c>
      <x:c r="BB23" s="41" t="str">
        <x:v>M</x:v>
      </x:c>
    </x:row>
    <x:row r="24">
      <x:c r="A24" s="37" t="str">
        <x:v>e3sm_1_1</x:v>
      </x:c>
      <x:c r="B24" s="38" t="n">
        <x:f>COUNTIF(D24:BB24,"&lt;&gt;×")</x:f>
        <x:v>31</x:v>
      </x:c>
      <x:c r="C24" s="39" t="n">
        <x:f>B24/51</x:f>
        <x:v>0.6078431372549019</x:v>
      </x:c>
      <x:c r="D24" s="40" t="str">
        <x:v>×</x:v>
      </x:c>
      <x:c r="E24" s="40" t="str">
        <x:v>×</x:v>
      </x:c>
      <x:c r="F24" s="40" t="str">
        <x:v>×</x:v>
      </x:c>
      <x:c r="G24" s="40" t="str">
        <x:v>×</x:v>
      </x:c>
      <x:c r="H24" s="40" t="str">
        <x:v>×</x:v>
      </x:c>
      <x:c r="I24" s="40" t="str">
        <x:v>×</x:v>
      </x:c>
      <x:c r="J24" s="40" t="str">
        <x:v>M</x:v>
      </x:c>
      <x:c r="K24" s="40" t="str">
        <x:v>×</x:v>
      </x:c>
      <x:c r="L24" s="40" t="str">
        <x:v>F</x:v>
      </x:c>
      <x:c r="M24" s="40" t="str">
        <x:v>×</x:v>
      </x:c>
      <x:c r="N24" s="40" t="str">
        <x:v>×</x:v>
      </x:c>
      <x:c r="O24" s="40" t="str">
        <x:v>M</x:v>
      </x:c>
      <x:c r="P24" s="40" t="str">
        <x:v>M</x:v>
      </x:c>
      <x:c r="Q24" s="40" t="str">
        <x:v>×</x:v>
      </x:c>
      <x:c r="R24" s="40" t="str">
        <x:v>M</x:v>
      </x:c>
      <x:c r="S24" s="40" t="str">
        <x:v>M</x:v>
      </x:c>
      <x:c r="T24" s="40" t="str">
        <x:v>×</x:v>
      </x:c>
      <x:c r="U24" s="40" t="str">
        <x:v>×</x:v>
      </x:c>
      <x:c r="V24" s="40" t="str">
        <x:v>×</x:v>
      </x:c>
      <x:c r="W24" s="40" t="str">
        <x:v>M</x:v>
      </x:c>
      <x:c r="X24" s="40" t="str">
        <x:v>×</x:v>
      </x:c>
      <x:c r="Y24" s="40" t="str">
        <x:v>×</x:v>
      </x:c>
      <x:c r="Z24" s="40" t="str">
        <x:v>×</x:v>
      </x:c>
      <x:c r="AA24" s="40" t="str">
        <x:v>M</x:v>
      </x:c>
      <x:c r="AB24" s="40" t="str">
        <x:v>M</x:v>
      </x:c>
      <x:c r="AC24" s="40" t="str">
        <x:v>M</x:v>
      </x:c>
      <x:c r="AD24" s="40" t="str">
        <x:v>M</x:v>
      </x:c>
      <x:c r="AE24" s="40" t="str">
        <x:v>M</x:v>
      </x:c>
      <x:c r="AF24" s="40" t="str">
        <x:v>M</x:v>
      </x:c>
      <x:c r="AG24" s="40" t="str">
        <x:v>M</x:v>
      </x:c>
      <x:c r="AH24" s="40" t="str">
        <x:v>×</x:v>
      </x:c>
      <x:c r="AI24" s="40" t="str">
        <x:v>M</x:v>
      </x:c>
      <x:c r="AJ24" s="40" t="str">
        <x:v>×</x:v>
      </x:c>
      <x:c r="AK24" s="40" t="str">
        <x:v>M</x:v>
      </x:c>
      <x:c r="AL24" s="40" t="str">
        <x:v>F</x:v>
      </x:c>
      <x:c r="AM24" s="40" t="str">
        <x:v>M</x:v>
      </x:c>
      <x:c r="AN24" s="40" t="str">
        <x:v>M</x:v>
      </x:c>
      <x:c r="AO24" s="40" t="str">
        <x:v>M</x:v>
      </x:c>
      <x:c r="AP24" s="40" t="str">
        <x:v>M</x:v>
      </x:c>
      <x:c r="AQ24" s="40" t="str">
        <x:v>×</x:v>
      </x:c>
      <x:c r="AR24" s="40" t="str">
        <x:v>M</x:v>
      </x:c>
      <x:c r="AS24" s="40" t="str">
        <x:v>M</x:v>
      </x:c>
      <x:c r="AT24" s="40" t="str">
        <x:v>M</x:v>
      </x:c>
      <x:c r="AU24" s="40" t="str">
        <x:v>M</x:v>
      </x:c>
      <x:c r="AV24" s="40" t="str">
        <x:v>M</x:v>
      </x:c>
      <x:c r="AW24" s="40" t="str">
        <x:v>M</x:v>
      </x:c>
      <x:c r="AX24" s="40" t="str">
        <x:v>M</x:v>
      </x:c>
      <x:c r="AY24" s="40" t="str">
        <x:v>M</x:v>
      </x:c>
      <x:c r="AZ24" s="40" t="str">
        <x:v>M</x:v>
      </x:c>
      <x:c r="BA24" s="40" t="str">
        <x:v>M</x:v>
      </x:c>
      <x:c r="BB24" s="41" t="str">
        <x:v>×</x:v>
      </x:c>
    </x:row>
    <x:row r="25">
      <x:c r="A25" s="37" t="str">
        <x:v>e3sm_1_1_eca</x:v>
      </x:c>
      <x:c r="B25" s="38" t="n">
        <x:f>COUNTIF(D25:BB25,"&lt;&gt;×")</x:f>
        <x:v>36</x:v>
      </x:c>
      <x:c r="C25" s="39" t="n">
        <x:f>B25/51</x:f>
        <x:v>0.7058823529411765</x:v>
      </x:c>
      <x:c r="D25" s="40" t="str">
        <x:v>×</x:v>
      </x:c>
      <x:c r="E25" s="40" t="str">
        <x:v>×</x:v>
      </x:c>
      <x:c r="F25" s="40" t="str">
        <x:v>×</x:v>
      </x:c>
      <x:c r="G25" s="40" t="str">
        <x:v>×</x:v>
      </x:c>
      <x:c r="H25" s="40" t="str">
        <x:v>×</x:v>
      </x:c>
      <x:c r="I25" s="40" t="str">
        <x:v>M</x:v>
      </x:c>
      <x:c r="J25" s="40" t="str">
        <x:v>M</x:v>
      </x:c>
      <x:c r="K25" s="40" t="str">
        <x:v>M</x:v>
      </x:c>
      <x:c r="L25" s="40" t="str">
        <x:v>F</x:v>
      </x:c>
      <x:c r="M25" s="40" t="str">
        <x:v>×</x:v>
      </x:c>
      <x:c r="N25" s="40" t="str">
        <x:v>×</x:v>
      </x:c>
      <x:c r="O25" s="40" t="str">
        <x:v>M</x:v>
      </x:c>
      <x:c r="P25" s="40" t="str">
        <x:v>M</x:v>
      </x:c>
      <x:c r="Q25" s="40" t="str">
        <x:v>×</x:v>
      </x:c>
      <x:c r="R25" s="40" t="str">
        <x:v>M</x:v>
      </x:c>
      <x:c r="S25" s="40" t="str">
        <x:v>M</x:v>
      </x:c>
      <x:c r="T25" s="40" t="str">
        <x:v>×</x:v>
      </x:c>
      <x:c r="U25" s="40" t="str">
        <x:v>M</x:v>
      </x:c>
      <x:c r="V25" s="40" t="str">
        <x:v>×</x:v>
      </x:c>
      <x:c r="W25" s="40" t="str">
        <x:v>M</x:v>
      </x:c>
      <x:c r="X25" s="40" t="str">
        <x:v>M</x:v>
      </x:c>
      <x:c r="Y25" s="40" t="str">
        <x:v>×</x:v>
      </x:c>
      <x:c r="Z25" s="40" t="str">
        <x:v>×</x:v>
      </x:c>
      <x:c r="AA25" s="40" t="str">
        <x:v>M</x:v>
      </x:c>
      <x:c r="AB25" s="40" t="str">
        <x:v>M</x:v>
      </x:c>
      <x:c r="AC25" s="40" t="str">
        <x:v>M</x:v>
      </x:c>
      <x:c r="AD25" s="40" t="str">
        <x:v>M</x:v>
      </x:c>
      <x:c r="AE25" s="40" t="str">
        <x:v>M</x:v>
      </x:c>
      <x:c r="AF25" s="40" t="str">
        <x:v>M</x:v>
      </x:c>
      <x:c r="AG25" s="40" t="str">
        <x:v>M</x:v>
      </x:c>
      <x:c r="AH25" s="40" t="str">
        <x:v>×</x:v>
      </x:c>
      <x:c r="AI25" s="40" t="str">
        <x:v>M</x:v>
      </x:c>
      <x:c r="AJ25" s="40" t="str">
        <x:v>M</x:v>
      </x:c>
      <x:c r="AK25" s="40" t="str">
        <x:v>M</x:v>
      </x:c>
      <x:c r="AL25" s="40" t="str">
        <x:v>F</x:v>
      </x:c>
      <x:c r="AM25" s="40" t="str">
        <x:v>M</x:v>
      </x:c>
      <x:c r="AN25" s="40" t="str">
        <x:v>M</x:v>
      </x:c>
      <x:c r="AO25" s="40" t="str">
        <x:v>M</x:v>
      </x:c>
      <x:c r="AP25" s="40" t="str">
        <x:v>M</x:v>
      </x:c>
      <x:c r="AQ25" s="40" t="str">
        <x:v>×</x:v>
      </x:c>
      <x:c r="AR25" s="40" t="str">
        <x:v>M</x:v>
      </x:c>
      <x:c r="AS25" s="40" t="str">
        <x:v>M</x:v>
      </x:c>
      <x:c r="AT25" s="40" t="str">
        <x:v>M</x:v>
      </x:c>
      <x:c r="AU25" s="40" t="str">
        <x:v>M</x:v>
      </x:c>
      <x:c r="AV25" s="40" t="str">
        <x:v>M</x:v>
      </x:c>
      <x:c r="AW25" s="40" t="str">
        <x:v>M</x:v>
      </x:c>
      <x:c r="AX25" s="40" t="str">
        <x:v>M</x:v>
      </x:c>
      <x:c r="AY25" s="40" t="str">
        <x:v>M</x:v>
      </x:c>
      <x:c r="AZ25" s="40" t="str">
        <x:v>M</x:v>
      </x:c>
      <x:c r="BA25" s="40" t="str">
        <x:v>M</x:v>
      </x:c>
      <x:c r="BB25" s="41" t="str">
        <x:v>×</x:v>
      </x:c>
    </x:row>
    <x:row r="26">
      <x:c r="A26" s="37" t="str">
        <x:v>ec_earth3</x:v>
      </x:c>
      <x:c r="B26" s="38" t="n">
        <x:f>COUNTIF(D26:BB26,"&lt;&gt;×")</x:f>
        <x:v>1</x:v>
      </x:c>
      <x:c r="C26" s="39" t="n">
        <x:f>B26/51</x:f>
        <x:v>0.0196078431372549</x:v>
      </x:c>
      <x:c r="D26" s="40" t="str">
        <x:v>×</x:v>
      </x:c>
      <x:c r="E26" s="40" t="str">
        <x:v>×</x:v>
      </x:c>
      <x:c r="F26" s="40" t="str">
        <x:v>×</x:v>
      </x:c>
      <x:c r="G26" s="40" t="str">
        <x:v>×</x:v>
      </x:c>
      <x:c r="H26" s="40" t="str">
        <x:v>×</x:v>
      </x:c>
      <x:c r="I26" s="40" t="str">
        <x:v>×</x:v>
      </x:c>
      <x:c r="J26" s="40" t="str">
        <x:v>×</x:v>
      </x:c>
      <x:c r="K26" s="40" t="str">
        <x:v>×</x:v>
      </x:c>
      <x:c r="L26" s="40" t="str">
        <x:v>×</x:v>
      </x:c>
      <x:c r="M26" s="40" t="str">
        <x:v>×</x:v>
      </x:c>
      <x:c r="N26" s="40" t="str">
        <x:v>×</x:v>
      </x:c>
      <x:c r="O26" s="40" t="str">
        <x:v>×</x:v>
      </x:c>
      <x:c r="P26" s="40" t="str">
        <x:v>×</x:v>
      </x:c>
      <x:c r="Q26" s="40" t="str">
        <x:v>×</x:v>
      </x:c>
      <x:c r="R26" s="40" t="str">
        <x:v>×</x:v>
      </x:c>
      <x:c r="S26" s="40" t="str">
        <x:v>×</x:v>
      </x:c>
      <x:c r="T26" s="40" t="str">
        <x:v>×</x:v>
      </x:c>
      <x:c r="U26" s="40" t="str">
        <x:v>×</x:v>
      </x:c>
      <x:c r="V26" s="40" t="str">
        <x:v>×</x:v>
      </x:c>
      <x:c r="W26" s="40" t="str">
        <x:v>×</x:v>
      </x:c>
      <x:c r="X26" s="40" t="str">
        <x:v>×</x:v>
      </x:c>
      <x:c r="Y26" s="40" t="str">
        <x:v>×</x:v>
      </x:c>
      <x:c r="Z26" s="40" t="str">
        <x:v>F</x:v>
      </x:c>
      <x:c r="AA26" s="40" t="str">
        <x:v>×</x:v>
      </x:c>
      <x:c r="AB26" s="40" t="str">
        <x:v>×</x:v>
      </x:c>
      <x:c r="AC26" s="40" t="str">
        <x:v>×</x:v>
      </x:c>
      <x:c r="AD26" s="40" t="str">
        <x:v>×</x:v>
      </x:c>
      <x:c r="AE26" s="40" t="str">
        <x:v>×</x:v>
      </x:c>
      <x:c r="AF26" s="40" t="str">
        <x:v>×</x:v>
      </x:c>
      <x:c r="AG26" s="40" t="str">
        <x:v>×</x:v>
      </x:c>
      <x:c r="AH26" s="40" t="str">
        <x:v>×</x:v>
      </x:c>
      <x:c r="AI26" s="40" t="str">
        <x:v>×</x:v>
      </x:c>
      <x:c r="AJ26" s="40" t="str">
        <x:v>×</x:v>
      </x:c>
      <x:c r="AK26" s="40" t="str">
        <x:v>×</x:v>
      </x:c>
      <x:c r="AL26" s="40" t="str">
        <x:v>×</x:v>
      </x:c>
      <x:c r="AM26" s="40" t="str">
        <x:v>×</x:v>
      </x:c>
      <x:c r="AN26" s="40" t="str">
        <x:v>×</x:v>
      </x:c>
      <x:c r="AO26" s="40" t="str">
        <x:v>×</x:v>
      </x:c>
      <x:c r="AP26" s="40" t="str">
        <x:v>×</x:v>
      </x:c>
      <x:c r="AQ26" s="40" t="str">
        <x:v>×</x:v>
      </x:c>
      <x:c r="AR26" s="40" t="str">
        <x:v>×</x:v>
      </x:c>
      <x:c r="AS26" s="40" t="str">
        <x:v>×</x:v>
      </x:c>
      <x:c r="AT26" s="40" t="str">
        <x:v>×</x:v>
      </x:c>
      <x:c r="AU26" s="40" t="str">
        <x:v>×</x:v>
      </x:c>
      <x:c r="AV26" s="40" t="str">
        <x:v>×</x:v>
      </x:c>
      <x:c r="AW26" s="40" t="str">
        <x:v>×</x:v>
      </x:c>
      <x:c r="AX26" s="40" t="str">
        <x:v>×</x:v>
      </x:c>
      <x:c r="AY26" s="40" t="str">
        <x:v>×</x:v>
      </x:c>
      <x:c r="AZ26" s="40" t="str">
        <x:v>×</x:v>
      </x:c>
      <x:c r="BA26" s="40" t="str">
        <x:v>×</x:v>
      </x:c>
      <x:c r="BB26" s="41" t="str">
        <x:v>×</x:v>
      </x:c>
    </x:row>
    <x:row r="27">
      <x:c r="A27" s="37" t="str">
        <x:v>ec_earth3_aerchem</x:v>
      </x:c>
      <x:c r="B27" s="38" t="n">
        <x:f>COUNTIF(D27:BB27,"&lt;&gt;×")</x:f>
        <x:v>47</x:v>
      </x:c>
      <x:c r="C27" s="39" t="n">
        <x:f>B27/51</x:f>
        <x:v>0.9215686274509803</x:v>
      </x:c>
      <x:c r="D27" s="40" t="str">
        <x:v>M</x:v>
      </x:c>
      <x:c r="E27" s="40" t="str">
        <x:v>×</x:v>
      </x:c>
      <x:c r="F27" s="40" t="str">
        <x:v>M+D</x:v>
      </x:c>
      <x:c r="G27" s="40" t="str">
        <x:v>M+D</x:v>
      </x:c>
      <x:c r="H27" s="40" t="str">
        <x:v>M</x:v>
      </x:c>
      <x:c r="I27" s="40" t="str">
        <x:v>M</x:v>
      </x:c>
      <x:c r="J27" s="40" t="str">
        <x:v>M</x:v>
      </x:c>
      <x:c r="K27" s="40" t="str">
        <x:v>M</x:v>
      </x:c>
      <x:c r="L27" s="40" t="str">
        <x:v>F</x:v>
      </x:c>
      <x:c r="M27" s="40" t="str">
        <x:v>F</x:v>
      </x:c>
      <x:c r="N27" s="40" t="str">
        <x:v>×</x:v>
      </x:c>
      <x:c r="O27" s="40" t="str">
        <x:v>M</x:v>
      </x:c>
      <x:c r="P27" s="40" t="str">
        <x:v>M+D</x:v>
      </x:c>
      <x:c r="Q27" s="40" t="str">
        <x:v>M</x:v>
      </x:c>
      <x:c r="R27" s="40" t="str">
        <x:v>M+D</x:v>
      </x:c>
      <x:c r="S27" s="40" t="str">
        <x:v>M+D</x:v>
      </x:c>
      <x:c r="T27" s="40" t="str">
        <x:v>M</x:v>
      </x:c>
      <x:c r="U27" s="40" t="str">
        <x:v>M</x:v>
      </x:c>
      <x:c r="V27" s="40" t="str">
        <x:v>F</x:v>
      </x:c>
      <x:c r="W27" s="40" t="str">
        <x:v>M+D</x:v>
      </x:c>
      <x:c r="X27" s="40" t="str">
        <x:v>M</x:v>
      </x:c>
      <x:c r="Y27" s="40" t="str">
        <x:v>F</x:v>
      </x:c>
      <x:c r="Z27" s="40" t="str">
        <x:v>F</x:v>
      </x:c>
      <x:c r="AA27" s="40" t="str">
        <x:v>M</x:v>
      </x:c>
      <x:c r="AB27" s="40" t="str">
        <x:v>M</x:v>
      </x:c>
      <x:c r="AC27" s="40" t="str">
        <x:v>M</x:v>
      </x:c>
      <x:c r="AD27" s="40" t="str">
        <x:v>M+D</x:v>
      </x:c>
      <x:c r="AE27" s="40" t="str">
        <x:v>M</x:v>
      </x:c>
      <x:c r="AF27" s="40" t="str">
        <x:v>M</x:v>
      </x:c>
      <x:c r="AG27" s="40" t="str">
        <x:v>M</x:v>
      </x:c>
      <x:c r="AH27" s="40" t="str">
        <x:v>M</x:v>
      </x:c>
      <x:c r="AI27" s="40" t="str">
        <x:v>M</x:v>
      </x:c>
      <x:c r="AJ27" s="40" t="str">
        <x:v>M</x:v>
      </x:c>
      <x:c r="AK27" s="40" t="str">
        <x:v>M</x:v>
      </x:c>
      <x:c r="AL27" s="40" t="str">
        <x:v>×</x:v>
      </x:c>
      <x:c r="AM27" s="40" t="str">
        <x:v>M</x:v>
      </x:c>
      <x:c r="AN27" s="40" t="str">
        <x:v>M</x:v>
      </x:c>
      <x:c r="AO27" s="40" t="str">
        <x:v>M</x:v>
      </x:c>
      <x:c r="AP27" s="40" t="str">
        <x:v>M</x:v>
      </x:c>
      <x:c r="AQ27" s="40" t="str">
        <x:v>M</x:v>
      </x:c>
      <x:c r="AR27" s="40" t="str">
        <x:v>M</x:v>
      </x:c>
      <x:c r="AS27" s="40" t="str">
        <x:v>M</x:v>
      </x:c>
      <x:c r="AT27" s="40" t="str">
        <x:v>M</x:v>
      </x:c>
      <x:c r="AU27" s="40" t="str">
        <x:v>M</x:v>
      </x:c>
      <x:c r="AV27" s="40" t="str">
        <x:v>M</x:v>
      </x:c>
      <x:c r="AW27" s="40" t="str">
        <x:v>×</x:v>
      </x:c>
      <x:c r="AX27" s="40" t="str">
        <x:v>M</x:v>
      </x:c>
      <x:c r="AY27" s="40" t="str">
        <x:v>M</x:v>
      </x:c>
      <x:c r="AZ27" s="40" t="str">
        <x:v>M</x:v>
      </x:c>
      <x:c r="BA27" s="40" t="str">
        <x:v>M</x:v>
      </x:c>
      <x:c r="BB27" s="41" t="str">
        <x:v>M</x:v>
      </x:c>
    </x:row>
    <x:row r="28">
      <x:c r="A28" s="37" t="str">
        <x:v>ec_earth3_cc</x:v>
      </x:c>
      <x:c r="B28" s="38" t="n">
        <x:f>COUNTIF(D28:BB28,"&lt;&gt;×")</x:f>
        <x:v>44</x:v>
      </x:c>
      <x:c r="C28" s="39" t="n">
        <x:f>B28/51</x:f>
        <x:v>0.8627450980392157</x:v>
      </x:c>
      <x:c r="D28" s="40" t="str">
        <x:v>M</x:v>
      </x:c>
      <x:c r="E28" s="40" t="str">
        <x:v>×</x:v>
      </x:c>
      <x:c r="F28" s="40" t="str">
        <x:v>M+D</x:v>
      </x:c>
      <x:c r="G28" s="40" t="str">
        <x:v>M+D</x:v>
      </x:c>
      <x:c r="H28" s="40" t="str">
        <x:v>M</x:v>
      </x:c>
      <x:c r="I28" s="40" t="str">
        <x:v>M</x:v>
      </x:c>
      <x:c r="J28" s="40" t="str">
        <x:v>M</x:v>
      </x:c>
      <x:c r="K28" s="40" t="str">
        <x:v>M</x:v>
      </x:c>
      <x:c r="L28" s="40" t="str">
        <x:v>F</x:v>
      </x:c>
      <x:c r="M28" s="40" t="str">
        <x:v>F</x:v>
      </x:c>
      <x:c r="N28" s="40" t="str">
        <x:v>×</x:v>
      </x:c>
      <x:c r="O28" s="40" t="str">
        <x:v>M</x:v>
      </x:c>
      <x:c r="P28" s="40" t="str">
        <x:v>M+D</x:v>
      </x:c>
      <x:c r="Q28" s="40" t="str">
        <x:v>M</x:v>
      </x:c>
      <x:c r="R28" s="40" t="str">
        <x:v>M+D</x:v>
      </x:c>
      <x:c r="S28" s="40" t="str">
        <x:v>M+D</x:v>
      </x:c>
      <x:c r="T28" s="40" t="str">
        <x:v>M</x:v>
      </x:c>
      <x:c r="U28" s="40" t="str">
        <x:v>M</x:v>
      </x:c>
      <x:c r="V28" s="40" t="str">
        <x:v>×</x:v>
      </x:c>
      <x:c r="W28" s="40" t="str">
        <x:v>M+D</x:v>
      </x:c>
      <x:c r="X28" s="40" t="str">
        <x:v>M</x:v>
      </x:c>
      <x:c r="Y28" s="40" t="str">
        <x:v>F</x:v>
      </x:c>
      <x:c r="Z28" s="40" t="str">
        <x:v>F</x:v>
      </x:c>
      <x:c r="AA28" s="40" t="str">
        <x:v>M</x:v>
      </x:c>
      <x:c r="AB28" s="40" t="str">
        <x:v>M</x:v>
      </x:c>
      <x:c r="AC28" s="40" t="str">
        <x:v>M</x:v>
      </x:c>
      <x:c r="AD28" s="40" t="str">
        <x:v>M+D</x:v>
      </x:c>
      <x:c r="AE28" s="40" t="str">
        <x:v>M</x:v>
      </x:c>
      <x:c r="AF28" s="40" t="str">
        <x:v>M</x:v>
      </x:c>
      <x:c r="AG28" s="40" t="str">
        <x:v>M</x:v>
      </x:c>
      <x:c r="AH28" s="40" t="str">
        <x:v>M</x:v>
      </x:c>
      <x:c r="AI28" s="40" t="str">
        <x:v>M</x:v>
      </x:c>
      <x:c r="AJ28" s="40" t="str">
        <x:v>M</x:v>
      </x:c>
      <x:c r="AK28" s="40" t="str">
        <x:v>M</x:v>
      </x:c>
      <x:c r="AL28" s="40" t="str">
        <x:v>×</x:v>
      </x:c>
      <x:c r="AM28" s="40" t="str">
        <x:v>M</x:v>
      </x:c>
      <x:c r="AN28" s="40" t="str">
        <x:v>M</x:v>
      </x:c>
      <x:c r="AO28" s="40" t="str">
        <x:v>×</x:v>
      </x:c>
      <x:c r="AP28" s="40" t="str">
        <x:v>M</x:v>
      </x:c>
      <x:c r="AQ28" s="40" t="str">
        <x:v>M</x:v>
      </x:c>
      <x:c r="AR28" s="40" t="str">
        <x:v>M</x:v>
      </x:c>
      <x:c r="AS28" s="40" t="str">
        <x:v>M</x:v>
      </x:c>
      <x:c r="AT28" s="40" t="str">
        <x:v>M</x:v>
      </x:c>
      <x:c r="AU28" s="40" t="str">
        <x:v>×</x:v>
      </x:c>
      <x:c r="AV28" s="40" t="str">
        <x:v>M</x:v>
      </x:c>
      <x:c r="AW28" s="40" t="str">
        <x:v>×</x:v>
      </x:c>
      <x:c r="AX28" s="40" t="str">
        <x:v>M</x:v>
      </x:c>
      <x:c r="AY28" s="40" t="str">
        <x:v>M</x:v>
      </x:c>
      <x:c r="AZ28" s="40" t="str">
        <x:v>M</x:v>
      </x:c>
      <x:c r="BA28" s="40" t="str">
        <x:v>M</x:v>
      </x:c>
      <x:c r="BB28" s="41" t="str">
        <x:v>M</x:v>
      </x:c>
    </x:row>
    <x:row r="29">
      <x:c r="A29" s="37" t="str">
        <x:v>ec_earth3_veg</x:v>
      </x:c>
      <x:c r="B29" s="38" t="n">
        <x:f>COUNTIF(D29:BB29,"&lt;&gt;×")</x:f>
        <x:v>1</x:v>
      </x:c>
      <x:c r="C29" s="39" t="n">
        <x:f>B29/51</x:f>
        <x:v>0.0196078431372549</x:v>
      </x:c>
      <x:c r="D29" s="40" t="str">
        <x:v>×</x:v>
      </x:c>
      <x:c r="E29" s="40" t="str">
        <x:v>×</x:v>
      </x:c>
      <x:c r="F29" s="40" t="str">
        <x:v>×</x:v>
      </x:c>
      <x:c r="G29" s="40" t="str">
        <x:v>×</x:v>
      </x:c>
      <x:c r="H29" s="40" t="str">
        <x:v>×</x:v>
      </x:c>
      <x:c r="I29" s="40" t="str">
        <x:v>×</x:v>
      </x:c>
      <x:c r="J29" s="40" t="str">
        <x:v>×</x:v>
      </x:c>
      <x:c r="K29" s="40" t="str">
        <x:v>×</x:v>
      </x:c>
      <x:c r="L29" s="40" t="str">
        <x:v>×</x:v>
      </x:c>
      <x:c r="M29" s="40" t="str">
        <x:v>×</x:v>
      </x:c>
      <x:c r="N29" s="40" t="str">
        <x:v>×</x:v>
      </x:c>
      <x:c r="O29" s="40" t="str">
        <x:v>×</x:v>
      </x:c>
      <x:c r="P29" s="40" t="str">
        <x:v>×</x:v>
      </x:c>
      <x:c r="Q29" s="40" t="str">
        <x:v>×</x:v>
      </x:c>
      <x:c r="R29" s="40" t="str">
        <x:v>×</x:v>
      </x:c>
      <x:c r="S29" s="40" t="str">
        <x:v>×</x:v>
      </x:c>
      <x:c r="T29" s="40" t="str">
        <x:v>×</x:v>
      </x:c>
      <x:c r="U29" s="40" t="str">
        <x:v>×</x:v>
      </x:c>
      <x:c r="V29" s="40" t="str">
        <x:v>×</x:v>
      </x:c>
      <x:c r="W29" s="40" t="str">
        <x:v>×</x:v>
      </x:c>
      <x:c r="X29" s="40" t="str">
        <x:v>×</x:v>
      </x:c>
      <x:c r="Y29" s="40" t="str">
        <x:v>×</x:v>
      </x:c>
      <x:c r="Z29" s="40" t="str">
        <x:v>F</x:v>
      </x:c>
      <x:c r="AA29" s="40" t="str">
        <x:v>×</x:v>
      </x:c>
      <x:c r="AB29" s="40" t="str">
        <x:v>×</x:v>
      </x:c>
      <x:c r="AC29" s="40" t="str">
        <x:v>×</x:v>
      </x:c>
      <x:c r="AD29" s="40" t="str">
        <x:v>×</x:v>
      </x:c>
      <x:c r="AE29" s="40" t="str">
        <x:v>×</x:v>
      </x:c>
      <x:c r="AF29" s="40" t="str">
        <x:v>×</x:v>
      </x:c>
      <x:c r="AG29" s="40" t="str">
        <x:v>×</x:v>
      </x:c>
      <x:c r="AH29" s="40" t="str">
        <x:v>×</x:v>
      </x:c>
      <x:c r="AI29" s="40" t="str">
        <x:v>×</x:v>
      </x:c>
      <x:c r="AJ29" s="40" t="str">
        <x:v>×</x:v>
      </x:c>
      <x:c r="AK29" s="40" t="str">
        <x:v>×</x:v>
      </x:c>
      <x:c r="AL29" s="40" t="str">
        <x:v>×</x:v>
      </x:c>
      <x:c r="AM29" s="40" t="str">
        <x:v>×</x:v>
      </x:c>
      <x:c r="AN29" s="40" t="str">
        <x:v>×</x:v>
      </x:c>
      <x:c r="AO29" s="40" t="str">
        <x:v>×</x:v>
      </x:c>
      <x:c r="AP29" s="40" t="str">
        <x:v>×</x:v>
      </x:c>
      <x:c r="AQ29" s="40" t="str">
        <x:v>×</x:v>
      </x:c>
      <x:c r="AR29" s="40" t="str">
        <x:v>×</x:v>
      </x:c>
      <x:c r="AS29" s="40" t="str">
        <x:v>×</x:v>
      </x:c>
      <x:c r="AT29" s="40" t="str">
        <x:v>×</x:v>
      </x:c>
      <x:c r="AU29" s="40" t="str">
        <x:v>×</x:v>
      </x:c>
      <x:c r="AV29" s="40" t="str">
        <x:v>×</x:v>
      </x:c>
      <x:c r="AW29" s="40" t="str">
        <x:v>×</x:v>
      </x:c>
      <x:c r="AX29" s="40" t="str">
        <x:v>×</x:v>
      </x:c>
      <x:c r="AY29" s="40" t="str">
        <x:v>×</x:v>
      </x:c>
      <x:c r="AZ29" s="40" t="str">
        <x:v>×</x:v>
      </x:c>
      <x:c r="BA29" s="40" t="str">
        <x:v>×</x:v>
      </x:c>
      <x:c r="BB29" s="41" t="str">
        <x:v>×</x:v>
      </x:c>
    </x:row>
    <x:row r="30">
      <x:c r="A30" s="37" t="str">
        <x:v>ec_earth3_veg_lr</x:v>
      </x:c>
      <x:c r="B30" s="38" t="n">
        <x:f>COUNTIF(D30:BB30,"&lt;&gt;×")</x:f>
        <x:v>42</x:v>
      </x:c>
      <x:c r="C30" s="39" t="n">
        <x:f>B30/51</x:f>
        <x:v>0.8235294117647058</x:v>
      </x:c>
      <x:c r="D30" s="40" t="str">
        <x:v>M</x:v>
      </x:c>
      <x:c r="E30" s="40" t="str">
        <x:v>×</x:v>
      </x:c>
      <x:c r="F30" s="40" t="str">
        <x:v>M+D</x:v>
      </x:c>
      <x:c r="G30" s="40" t="str">
        <x:v>M+D</x:v>
      </x:c>
      <x:c r="H30" s="40" t="str">
        <x:v>×</x:v>
      </x:c>
      <x:c r="I30" s="40" t="str">
        <x:v>M</x:v>
      </x:c>
      <x:c r="J30" s="40" t="str">
        <x:v>M</x:v>
      </x:c>
      <x:c r="K30" s="40" t="str">
        <x:v>M</x:v>
      </x:c>
      <x:c r="L30" s="40" t="str">
        <x:v>×</x:v>
      </x:c>
      <x:c r="M30" s="40" t="str">
        <x:v>F</x:v>
      </x:c>
      <x:c r="N30" s="40" t="str">
        <x:v>×</x:v>
      </x:c>
      <x:c r="O30" s="40" t="str">
        <x:v>M</x:v>
      </x:c>
      <x:c r="P30" s="40" t="str">
        <x:v>×</x:v>
      </x:c>
      <x:c r="Q30" s="40" t="str">
        <x:v>M</x:v>
      </x:c>
      <x:c r="R30" s="40" t="str">
        <x:v>M+D</x:v>
      </x:c>
      <x:c r="S30" s="40" t="str">
        <x:v>M+D</x:v>
      </x:c>
      <x:c r="T30" s="40" t="str">
        <x:v>×</x:v>
      </x:c>
      <x:c r="U30" s="40" t="str">
        <x:v>M</x:v>
      </x:c>
      <x:c r="V30" s="40" t="str">
        <x:v>F</x:v>
      </x:c>
      <x:c r="W30" s="40" t="str">
        <x:v>M+D</x:v>
      </x:c>
      <x:c r="X30" s="40" t="str">
        <x:v>M</x:v>
      </x:c>
      <x:c r="Y30" s="40" t="str">
        <x:v>F</x:v>
      </x:c>
      <x:c r="Z30" s="40" t="str">
        <x:v>F</x:v>
      </x:c>
      <x:c r="AA30" s="40" t="str">
        <x:v>M</x:v>
      </x:c>
      <x:c r="AB30" s="40" t="str">
        <x:v>M</x:v>
      </x:c>
      <x:c r="AC30" s="40" t="str">
        <x:v>M</x:v>
      </x:c>
      <x:c r="AD30" s="40" t="str">
        <x:v>M+D</x:v>
      </x:c>
      <x:c r="AE30" s="40" t="str">
        <x:v>M</x:v>
      </x:c>
      <x:c r="AF30" s="40" t="str">
        <x:v>M</x:v>
      </x:c>
      <x:c r="AG30" s="40" t="str">
        <x:v>M</x:v>
      </x:c>
      <x:c r="AH30" s="40" t="str">
        <x:v>M</x:v>
      </x:c>
      <x:c r="AI30" s="40" t="str">
        <x:v>M</x:v>
      </x:c>
      <x:c r="AJ30" s="40" t="str">
        <x:v>M</x:v>
      </x:c>
      <x:c r="AK30" s="40" t="str">
        <x:v>M</x:v>
      </x:c>
      <x:c r="AL30" s="40" t="str">
        <x:v>×</x:v>
      </x:c>
      <x:c r="AM30" s="40" t="str">
        <x:v>M</x:v>
      </x:c>
      <x:c r="AN30" s="40" t="str">
        <x:v>M</x:v>
      </x:c>
      <x:c r="AO30" s="40" t="str">
        <x:v>×</x:v>
      </x:c>
      <x:c r="AP30" s="40" t="str">
        <x:v>M</x:v>
      </x:c>
      <x:c r="AQ30" s="40" t="str">
        <x:v>M</x:v>
      </x:c>
      <x:c r="AR30" s="40" t="str">
        <x:v>M</x:v>
      </x:c>
      <x:c r="AS30" s="40" t="str">
        <x:v>M</x:v>
      </x:c>
      <x:c r="AT30" s="40" t="str">
        <x:v>M</x:v>
      </x:c>
      <x:c r="AU30" s="40" t="str">
        <x:v>M</x:v>
      </x:c>
      <x:c r="AV30" s="40" t="str">
        <x:v>M</x:v>
      </x:c>
      <x:c r="AW30" s="40" t="str">
        <x:v>×</x:v>
      </x:c>
      <x:c r="AX30" s="40" t="str">
        <x:v>M</x:v>
      </x:c>
      <x:c r="AY30" s="40" t="str">
        <x:v>M</x:v>
      </x:c>
      <x:c r="AZ30" s="40" t="str">
        <x:v>M</x:v>
      </x:c>
      <x:c r="BA30" s="40" t="str">
        <x:v>M</x:v>
      </x:c>
      <x:c r="BB30" s="41" t="str">
        <x:v>M</x:v>
      </x:c>
    </x:row>
    <x:row r="31">
      <x:c r="A31" s="37" t="str">
        <x:v>fgoals_f3_l</x:v>
      </x:c>
      <x:c r="B31" s="38" t="n">
        <x:f>COUNTIF(D31:BB31,"&lt;&gt;×")</x:f>
        <x:v>37</x:v>
      </x:c>
      <x:c r="C31" s="39" t="n">
        <x:f>B31/51</x:f>
        <x:v>0.7254901960784313</x:v>
      </x:c>
      <x:c r="D31" s="40" t="str">
        <x:v>M</x:v>
      </x:c>
      <x:c r="E31" s="40" t="str">
        <x:v>×</x:v>
      </x:c>
      <x:c r="F31" s="40" t="str">
        <x:v>D</x:v>
      </x:c>
      <x:c r="G31" s="40" t="str">
        <x:v>D</x:v>
      </x:c>
      <x:c r="H31" s="40" t="str">
        <x:v>M</x:v>
      </x:c>
      <x:c r="I31" s="40" t="str">
        <x:v>M</x:v>
      </x:c>
      <x:c r="J31" s="40" t="str">
        <x:v>M</x:v>
      </x:c>
      <x:c r="K31" s="40" t="str">
        <x:v>M</x:v>
      </x:c>
      <x:c r="L31" s="40" t="str">
        <x:v>×</x:v>
      </x:c>
      <x:c r="M31" s="40" t="str">
        <x:v>×</x:v>
      </x:c>
      <x:c r="N31" s="40" t="str">
        <x:v>×</x:v>
      </x:c>
      <x:c r="O31" s="40" t="str">
        <x:v>×</x:v>
      </x:c>
      <x:c r="P31" s="40" t="str">
        <x:v>M+D</x:v>
      </x:c>
      <x:c r="Q31" s="40" t="str">
        <x:v>×</x:v>
      </x:c>
      <x:c r="R31" s="40" t="str">
        <x:v>M+D</x:v>
      </x:c>
      <x:c r="S31" s="40" t="str">
        <x:v>M+D</x:v>
      </x:c>
      <x:c r="T31" s="40" t="str">
        <x:v>M</x:v>
      </x:c>
      <x:c r="U31" s="40" t="str">
        <x:v>M</x:v>
      </x:c>
      <x:c r="V31" s="40" t="str">
        <x:v>×</x:v>
      </x:c>
      <x:c r="W31" s="40" t="str">
        <x:v>M+D</x:v>
      </x:c>
      <x:c r="X31" s="40" t="str">
        <x:v>×</x:v>
      </x:c>
      <x:c r="Y31" s="40" t="str">
        <x:v>×</x:v>
      </x:c>
      <x:c r="Z31" s="40" t="str">
        <x:v>F</x:v>
      </x:c>
      <x:c r="AA31" s="40" t="str">
        <x:v>M</x:v>
      </x:c>
      <x:c r="AB31" s="40" t="str">
        <x:v>×</x:v>
      </x:c>
      <x:c r="AC31" s="40" t="str">
        <x:v>×</x:v>
      </x:c>
      <x:c r="AD31" s="40" t="str">
        <x:v>M+D</x:v>
      </x:c>
      <x:c r="AE31" s="40" t="str">
        <x:v>M</x:v>
      </x:c>
      <x:c r="AF31" s="40" t="str">
        <x:v>M</x:v>
      </x:c>
      <x:c r="AG31" s="40" t="str">
        <x:v>M</x:v>
      </x:c>
      <x:c r="AH31" s="40" t="str">
        <x:v>×</x:v>
      </x:c>
      <x:c r="AI31" s="40" t="str">
        <x:v>M</x:v>
      </x:c>
      <x:c r="AJ31" s="40" t="str">
        <x:v>M</x:v>
      </x:c>
      <x:c r="AK31" s="40" t="str">
        <x:v>M</x:v>
      </x:c>
      <x:c r="AL31" s="40" t="str">
        <x:v>F</x:v>
      </x:c>
      <x:c r="AM31" s="40" t="str">
        <x:v>M</x:v>
      </x:c>
      <x:c r="AN31" s="40" t="str">
        <x:v>M</x:v>
      </x:c>
      <x:c r="AO31" s="40" t="str">
        <x:v>M</x:v>
      </x:c>
      <x:c r="AP31" s="40" t="str">
        <x:v>M</x:v>
      </x:c>
      <x:c r="AQ31" s="40" t="str">
        <x:v>×</x:v>
      </x:c>
      <x:c r="AR31" s="40" t="str">
        <x:v>M</x:v>
      </x:c>
      <x:c r="AS31" s="40" t="str">
        <x:v>M</x:v>
      </x:c>
      <x:c r="AT31" s="40" t="str">
        <x:v>M</x:v>
      </x:c>
      <x:c r="AU31" s="40" t="str">
        <x:v>M</x:v>
      </x:c>
      <x:c r="AV31" s="40" t="str">
        <x:v>M</x:v>
      </x:c>
      <x:c r="AW31" s="40" t="str">
        <x:v>M</x:v>
      </x:c>
      <x:c r="AX31" s="40" t="str">
        <x:v>M</x:v>
      </x:c>
      <x:c r="AY31" s="40" t="str">
        <x:v>M</x:v>
      </x:c>
      <x:c r="AZ31" s="40" t="str">
        <x:v>M</x:v>
      </x:c>
      <x:c r="BA31" s="40" t="str">
        <x:v>M</x:v>
      </x:c>
      <x:c r="BB31" s="41" t="str">
        <x:v>×</x:v>
      </x:c>
    </x:row>
    <x:row r="32">
      <x:c r="A32" s="37" t="str">
        <x:v>fgoals_g3</x:v>
      </x:c>
      <x:c r="B32" s="38" t="n">
        <x:f>COUNTIF(D32:BB32,"&lt;&gt;×")</x:f>
        <x:v>34</x:v>
      </x:c>
      <x:c r="C32" s="39" t="n">
        <x:f>B32/51</x:f>
        <x:v>0.6666666666666666</x:v>
      </x:c>
      <x:c r="D32" s="40" t="str">
        <x:v>M</x:v>
      </x:c>
      <x:c r="E32" s="40" t="str">
        <x:v>×</x:v>
      </x:c>
      <x:c r="F32" s="40" t="str">
        <x:v>M+D</x:v>
      </x:c>
      <x:c r="G32" s="40" t="str">
        <x:v>M+D</x:v>
      </x:c>
      <x:c r="H32" s="40" t="str">
        <x:v>×</x:v>
      </x:c>
      <x:c r="I32" s="40" t="str">
        <x:v>M</x:v>
      </x:c>
      <x:c r="J32" s="40" t="str">
        <x:v>M</x:v>
      </x:c>
      <x:c r="K32" s="40" t="str">
        <x:v>M</x:v>
      </x:c>
      <x:c r="L32" s="40" t="str">
        <x:v>×</x:v>
      </x:c>
      <x:c r="M32" s="40" t="str">
        <x:v>×</x:v>
      </x:c>
      <x:c r="N32" s="40" t="str">
        <x:v>×</x:v>
      </x:c>
      <x:c r="O32" s="40" t="str">
        <x:v>×</x:v>
      </x:c>
      <x:c r="P32" s="40" t="str">
        <x:v>M+D</x:v>
      </x:c>
      <x:c r="Q32" s="40" t="str">
        <x:v>×</x:v>
      </x:c>
      <x:c r="R32" s="40" t="str">
        <x:v>M+D</x:v>
      </x:c>
      <x:c r="S32" s="40" t="str">
        <x:v>M+D</x:v>
      </x:c>
      <x:c r="T32" s="40" t="str">
        <x:v>×</x:v>
      </x:c>
      <x:c r="U32" s="40" t="str">
        <x:v>M</x:v>
      </x:c>
      <x:c r="V32" s="40" t="str">
        <x:v>F</x:v>
      </x:c>
      <x:c r="W32" s="40" t="str">
        <x:v>M+D</x:v>
      </x:c>
      <x:c r="X32" s="40" t="str">
        <x:v>M</x:v>
      </x:c>
      <x:c r="Y32" s="40" t="str">
        <x:v>×</x:v>
      </x:c>
      <x:c r="Z32" s="40" t="str">
        <x:v>F</x:v>
      </x:c>
      <x:c r="AA32" s="40" t="str">
        <x:v>×</x:v>
      </x:c>
      <x:c r="AB32" s="40" t="str">
        <x:v>×</x:v>
      </x:c>
      <x:c r="AC32" s="40" t="str">
        <x:v>×</x:v>
      </x:c>
      <x:c r="AD32" s="40" t="str">
        <x:v>M+D</x:v>
      </x:c>
      <x:c r="AE32" s="40" t="str">
        <x:v>M</x:v>
      </x:c>
      <x:c r="AF32" s="40" t="str">
        <x:v>M</x:v>
      </x:c>
      <x:c r="AG32" s="40" t="str">
        <x:v>M</x:v>
      </x:c>
      <x:c r="AH32" s="40" t="str">
        <x:v>×</x:v>
      </x:c>
      <x:c r="AI32" s="40" t="str">
        <x:v>M</x:v>
      </x:c>
      <x:c r="AJ32" s="40" t="str">
        <x:v>M</x:v>
      </x:c>
      <x:c r="AK32" s="40" t="str">
        <x:v>M</x:v>
      </x:c>
      <x:c r="AL32" s="40" t="str">
        <x:v>×</x:v>
      </x:c>
      <x:c r="AM32" s="40" t="str">
        <x:v>M</x:v>
      </x:c>
      <x:c r="AN32" s="40" t="str">
        <x:v>M</x:v>
      </x:c>
      <x:c r="AO32" s="40" t="str">
        <x:v>M</x:v>
      </x:c>
      <x:c r="AP32" s="40" t="str">
        <x:v>M</x:v>
      </x:c>
      <x:c r="AQ32" s="40" t="str">
        <x:v>×</x:v>
      </x:c>
      <x:c r="AR32" s="40" t="str">
        <x:v>M</x:v>
      </x:c>
      <x:c r="AS32" s="40" t="str">
        <x:v>×</x:v>
      </x:c>
      <x:c r="AT32" s="40" t="str">
        <x:v>M</x:v>
      </x:c>
      <x:c r="AU32" s="40" t="str">
        <x:v>M</x:v>
      </x:c>
      <x:c r="AV32" s="40" t="str">
        <x:v>M</x:v>
      </x:c>
      <x:c r="AW32" s="40" t="str">
        <x:v>M</x:v>
      </x:c>
      <x:c r="AX32" s="40" t="str">
        <x:v>M</x:v>
      </x:c>
      <x:c r="AY32" s="40" t="str">
        <x:v>M</x:v>
      </x:c>
      <x:c r="AZ32" s="40" t="str">
        <x:v>M</x:v>
      </x:c>
      <x:c r="BA32" s="40" t="str">
        <x:v>M</x:v>
      </x:c>
      <x:c r="BB32" s="41" t="str">
        <x:v>×</x:v>
      </x:c>
    </x:row>
    <x:row r="33">
      <x:c r="A33" s="37" t="str">
        <x:v>fio_esm_2_0</x:v>
      </x:c>
      <x:c r="B33" s="38" t="n">
        <x:f>COUNTIF(D33:BB33,"&lt;&gt;×")</x:f>
        <x:v>34</x:v>
      </x:c>
      <x:c r="C33" s="39" t="n">
        <x:f>B33/51</x:f>
        <x:v>0.6666666666666666</x:v>
      </x:c>
      <x:c r="D33" s="40" t="str">
        <x:v>M</x:v>
      </x:c>
      <x:c r="E33" s="40" t="str">
        <x:v>×</x:v>
      </x:c>
      <x:c r="F33" s="40" t="str">
        <x:v>M</x:v>
      </x:c>
      <x:c r="G33" s="40" t="str">
        <x:v>M</x:v>
      </x:c>
      <x:c r="H33" s="40" t="str">
        <x:v>×</x:v>
      </x:c>
      <x:c r="I33" s="40" t="str">
        <x:v>M</x:v>
      </x:c>
      <x:c r="J33" s="40" t="str">
        <x:v>M</x:v>
      </x:c>
      <x:c r="K33" s="40" t="str">
        <x:v>M</x:v>
      </x:c>
      <x:c r="L33" s="40" t="str">
        <x:v>×</x:v>
      </x:c>
      <x:c r="M33" s="40" t="str">
        <x:v>F</x:v>
      </x:c>
      <x:c r="N33" s="40" t="str">
        <x:v>×</x:v>
      </x:c>
      <x:c r="O33" s="40" t="str">
        <x:v>×</x:v>
      </x:c>
      <x:c r="P33" s="40" t="str">
        <x:v>M</x:v>
      </x:c>
      <x:c r="Q33" s="40" t="str">
        <x:v>×</x:v>
      </x:c>
      <x:c r="R33" s="40" t="str">
        <x:v>M</x:v>
      </x:c>
      <x:c r="S33" s="40" t="str">
        <x:v>M</x:v>
      </x:c>
      <x:c r="T33" s="40" t="str">
        <x:v>×</x:v>
      </x:c>
      <x:c r="U33" s="40" t="str">
        <x:v>M</x:v>
      </x:c>
      <x:c r="V33" s="40" t="str">
        <x:v>×</x:v>
      </x:c>
      <x:c r="W33" s="40" t="str">
        <x:v>M</x:v>
      </x:c>
      <x:c r="X33" s="40" t="str">
        <x:v>M</x:v>
      </x:c>
      <x:c r="Y33" s="40" t="str">
        <x:v>×</x:v>
      </x:c>
      <x:c r="Z33" s="40" t="str">
        <x:v>F</x:v>
      </x:c>
      <x:c r="AA33" s="40" t="str">
        <x:v>M</x:v>
      </x:c>
      <x:c r="AB33" s="40" t="str">
        <x:v>×</x:v>
      </x:c>
      <x:c r="AC33" s="40" t="str">
        <x:v>×</x:v>
      </x:c>
      <x:c r="AD33" s="40" t="str">
        <x:v>M</x:v>
      </x:c>
      <x:c r="AE33" s="40" t="str">
        <x:v>M</x:v>
      </x:c>
      <x:c r="AF33" s="40" t="str">
        <x:v>×</x:v>
      </x:c>
      <x:c r="AG33" s="40" t="str">
        <x:v>M</x:v>
      </x:c>
      <x:c r="AH33" s="40" t="str">
        <x:v>×</x:v>
      </x:c>
      <x:c r="AI33" s="40" t="str">
        <x:v>M</x:v>
      </x:c>
      <x:c r="AJ33" s="40" t="str">
        <x:v>M</x:v>
      </x:c>
      <x:c r="AK33" s="40" t="str">
        <x:v>M</x:v>
      </x:c>
      <x:c r="AL33" s="40" t="str">
        <x:v>×</x:v>
      </x:c>
      <x:c r="AM33" s="40" t="str">
        <x:v>M</x:v>
      </x:c>
      <x:c r="AN33" s="40" t="str">
        <x:v>M</x:v>
      </x:c>
      <x:c r="AO33" s="40" t="str">
        <x:v>M</x:v>
      </x:c>
      <x:c r="AP33" s="40" t="str">
        <x:v>M</x:v>
      </x:c>
      <x:c r="AQ33" s="40" t="str">
        <x:v>×</x:v>
      </x:c>
      <x:c r="AR33" s="40" t="str">
        <x:v>M</x:v>
      </x:c>
      <x:c r="AS33" s="40" t="str">
        <x:v>M</x:v>
      </x:c>
      <x:c r="AT33" s="40" t="str">
        <x:v>M</x:v>
      </x:c>
      <x:c r="AU33" s="40" t="str">
        <x:v>M</x:v>
      </x:c>
      <x:c r="AV33" s="40" t="str">
        <x:v>M</x:v>
      </x:c>
      <x:c r="AW33" s="40" t="str">
        <x:v>M</x:v>
      </x:c>
      <x:c r="AX33" s="40" t="str">
        <x:v>M</x:v>
      </x:c>
      <x:c r="AY33" s="40" t="str">
        <x:v>M</x:v>
      </x:c>
      <x:c r="AZ33" s="40" t="str">
        <x:v>M</x:v>
      </x:c>
      <x:c r="BA33" s="40" t="str">
        <x:v>×</x:v>
      </x:c>
      <x:c r="BB33" s="41" t="str">
        <x:v>×</x:v>
      </x:c>
    </x:row>
    <x:row r="34">
      <x:c r="A34" s="37" t="str">
        <x:v>gfdl_esm4</x:v>
      </x:c>
      <x:c r="B34" s="38" t="n">
        <x:f>COUNTIF(D34:BB34,"&lt;&gt;×")</x:f>
        <x:v>35</x:v>
      </x:c>
      <x:c r="C34" s="39" t="n">
        <x:f>B34/51</x:f>
        <x:v>0.6862745098039216</x:v>
      </x:c>
      <x:c r="D34" s="40" t="str">
        <x:v>M</x:v>
      </x:c>
      <x:c r="E34" s="40" t="str">
        <x:v>×</x:v>
      </x:c>
      <x:c r="F34" s="40" t="str">
        <x:v>M+D</x:v>
      </x:c>
      <x:c r="G34" s="40" t="str">
        <x:v>M+D</x:v>
      </x:c>
      <x:c r="H34" s="40" t="str">
        <x:v>M</x:v>
      </x:c>
      <x:c r="I34" s="40" t="str">
        <x:v>M</x:v>
      </x:c>
      <x:c r="J34" s="40" t="str">
        <x:v>M</x:v>
      </x:c>
      <x:c r="K34" s="40" t="str">
        <x:v>M</x:v>
      </x:c>
      <x:c r="L34" s="40" t="str">
        <x:v>F</x:v>
      </x:c>
      <x:c r="M34" s="40" t="str">
        <x:v>×</x:v>
      </x:c>
      <x:c r="N34" s="40" t="str">
        <x:v>×</x:v>
      </x:c>
      <x:c r="O34" s="40" t="str">
        <x:v>×</x:v>
      </x:c>
      <x:c r="P34" s="40" t="str">
        <x:v>M+D</x:v>
      </x:c>
      <x:c r="Q34" s="40" t="str">
        <x:v>×</x:v>
      </x:c>
      <x:c r="R34" s="40" t="str">
        <x:v>M+D</x:v>
      </x:c>
      <x:c r="S34" s="40" t="str">
        <x:v>M+D</x:v>
      </x:c>
      <x:c r="T34" s="40" t="str">
        <x:v>M</x:v>
      </x:c>
      <x:c r="U34" s="40" t="str">
        <x:v>M</x:v>
      </x:c>
      <x:c r="V34" s="40" t="str">
        <x:v>×</x:v>
      </x:c>
      <x:c r="W34" s="40" t="str">
        <x:v>M+D</x:v>
      </x:c>
      <x:c r="X34" s="40" t="str">
        <x:v>M</x:v>
      </x:c>
      <x:c r="Y34" s="40" t="str">
        <x:v>×</x:v>
      </x:c>
      <x:c r="Z34" s="40" t="str">
        <x:v>×</x:v>
      </x:c>
      <x:c r="AA34" s="40" t="str">
        <x:v>×</x:v>
      </x:c>
      <x:c r="AB34" s="40" t="str">
        <x:v>×</x:v>
      </x:c>
      <x:c r="AC34" s="40" t="str">
        <x:v>×</x:v>
      </x:c>
      <x:c r="AD34" s="40" t="str">
        <x:v>M+D</x:v>
      </x:c>
      <x:c r="AE34" s="40" t="str">
        <x:v>×</x:v>
      </x:c>
      <x:c r="AF34" s="40" t="str">
        <x:v>×</x:v>
      </x:c>
      <x:c r="AG34" s="40" t="str">
        <x:v>M</x:v>
      </x:c>
      <x:c r="AH34" s="40" t="str">
        <x:v>M</x:v>
      </x:c>
      <x:c r="AI34" s="40" t="str">
        <x:v>M</x:v>
      </x:c>
      <x:c r="AJ34" s="40" t="str">
        <x:v>M</x:v>
      </x:c>
      <x:c r="AK34" s="40" t="str">
        <x:v>M</x:v>
      </x:c>
      <x:c r="AL34" s="40" t="str">
        <x:v>F</x:v>
      </x:c>
      <x:c r="AM34" s="40" t="str">
        <x:v>M</x:v>
      </x:c>
      <x:c r="AN34" s="40" t="str">
        <x:v>M</x:v>
      </x:c>
      <x:c r="AO34" s="40" t="str">
        <x:v>M</x:v>
      </x:c>
      <x:c r="AP34" s="40" t="str">
        <x:v>M</x:v>
      </x:c>
      <x:c r="AQ34" s="40" t="str">
        <x:v>×</x:v>
      </x:c>
      <x:c r="AR34" s="40" t="str">
        <x:v>M</x:v>
      </x:c>
      <x:c r="AS34" s="40" t="str">
        <x:v>×</x:v>
      </x:c>
      <x:c r="AT34" s="40" t="str">
        <x:v>M</x:v>
      </x:c>
      <x:c r="AU34" s="40" t="str">
        <x:v>M</x:v>
      </x:c>
      <x:c r="AV34" s="40" t="str">
        <x:v>M</x:v>
      </x:c>
      <x:c r="AW34" s="40" t="str">
        <x:v>M</x:v>
      </x:c>
      <x:c r="AX34" s="40" t="str">
        <x:v>M</x:v>
      </x:c>
      <x:c r="AY34" s="40" t="str">
        <x:v>M</x:v>
      </x:c>
      <x:c r="AZ34" s="40" t="str">
        <x:v>M</x:v>
      </x:c>
      <x:c r="BA34" s="40" t="str">
        <x:v>M</x:v>
      </x:c>
      <x:c r="BB34" s="41" t="str">
        <x:v>×</x:v>
      </x:c>
    </x:row>
    <x:row r="35">
      <x:c r="A35" s="37" t="str">
        <x:v>giss_e2_1_g</x:v>
      </x:c>
      <x:c r="B35" s="38" t="n">
        <x:f>COUNTIF(D35:BB35,"&lt;&gt;×")</x:f>
        <x:v>3</x:v>
      </x:c>
      <x:c r="C35" s="39" t="n">
        <x:f>B35/51</x:f>
        <x:v>0.058823529411764705</x:v>
      </x:c>
      <x:c r="D35" s="40" t="str">
        <x:v>×</x:v>
      </x:c>
      <x:c r="E35" s="40" t="str">
        <x:v>×</x:v>
      </x:c>
      <x:c r="F35" s="40" t="str">
        <x:v>×</x:v>
      </x:c>
      <x:c r="G35" s="40" t="str">
        <x:v>×</x:v>
      </x:c>
      <x:c r="H35" s="40" t="str">
        <x:v>×</x:v>
      </x:c>
      <x:c r="I35" s="40" t="str">
        <x:v>×</x:v>
      </x:c>
      <x:c r="J35" s="40" t="str">
        <x:v>×</x:v>
      </x:c>
      <x:c r="K35" s="40" t="str">
        <x:v>×</x:v>
      </x:c>
      <x:c r="L35" s="40" t="str">
        <x:v>×</x:v>
      </x:c>
      <x:c r="M35" s="40" t="str">
        <x:v>×</x:v>
      </x:c>
      <x:c r="N35" s="40" t="str">
        <x:v>×</x:v>
      </x:c>
      <x:c r="O35" s="40" t="str">
        <x:v>×</x:v>
      </x:c>
      <x:c r="P35" s="40" t="str">
        <x:v>×</x:v>
      </x:c>
      <x:c r="Q35" s="40" t="str">
        <x:v>×</x:v>
      </x:c>
      <x:c r="R35" s="40" t="str">
        <x:v>×</x:v>
      </x:c>
      <x:c r="S35" s="40" t="str">
        <x:v>×</x:v>
      </x:c>
      <x:c r="T35" s="40" t="str">
        <x:v>×</x:v>
      </x:c>
      <x:c r="U35" s="40" t="str">
        <x:v>×</x:v>
      </x:c>
      <x:c r="V35" s="40" t="str">
        <x:v>×</x:v>
      </x:c>
      <x:c r="W35" s="40" t="str">
        <x:v>×</x:v>
      </x:c>
      <x:c r="X35" s="40" t="str">
        <x:v>×</x:v>
      </x:c>
      <x:c r="Y35" s="40" t="str">
        <x:v>×</x:v>
      </x:c>
      <x:c r="Z35" s="40" t="str">
        <x:v>×</x:v>
      </x:c>
      <x:c r="AA35" s="40" t="str">
        <x:v>×</x:v>
      </x:c>
      <x:c r="AB35" s="40" t="str">
        <x:v>×</x:v>
      </x:c>
      <x:c r="AC35" s="40" t="str">
        <x:v>×</x:v>
      </x:c>
      <x:c r="AD35" s="40" t="str">
        <x:v>×</x:v>
      </x:c>
      <x:c r="AE35" s="40" t="str">
        <x:v>×</x:v>
      </x:c>
      <x:c r="AF35" s="40" t="str">
        <x:v>×</x:v>
      </x:c>
      <x:c r="AG35" s="40" t="str">
        <x:v>×</x:v>
      </x:c>
      <x:c r="AH35" s="40" t="str">
        <x:v>M</x:v>
      </x:c>
      <x:c r="AI35" s="40" t="str">
        <x:v>×</x:v>
      </x:c>
      <x:c r="AJ35" s="40" t="str">
        <x:v>×</x:v>
      </x:c>
      <x:c r="AK35" s="40" t="str">
        <x:v>×</x:v>
      </x:c>
      <x:c r="AL35" s="40" t="str">
        <x:v>×</x:v>
      </x:c>
      <x:c r="AM35" s="40" t="str">
        <x:v>×</x:v>
      </x:c>
      <x:c r="AN35" s="40" t="str">
        <x:v>×</x:v>
      </x:c>
      <x:c r="AO35" s="40" t="str">
        <x:v>×</x:v>
      </x:c>
      <x:c r="AP35" s="40" t="str">
        <x:v>×</x:v>
      </x:c>
      <x:c r="AQ35" s="40" t="str">
        <x:v>M</x:v>
      </x:c>
      <x:c r="AR35" s="40" t="str">
        <x:v>×</x:v>
      </x:c>
      <x:c r="AS35" s="40" t="str">
        <x:v>×</x:v>
      </x:c>
      <x:c r="AT35" s="40" t="str">
        <x:v>×</x:v>
      </x:c>
      <x:c r="AU35" s="40" t="str">
        <x:v>×</x:v>
      </x:c>
      <x:c r="AV35" s="40" t="str">
        <x:v>M</x:v>
      </x:c>
      <x:c r="AW35" s="40" t="str">
        <x:v>×</x:v>
      </x:c>
      <x:c r="AX35" s="40" t="str">
        <x:v>×</x:v>
      </x:c>
      <x:c r="AY35" s="40" t="str">
        <x:v>×</x:v>
      </x:c>
      <x:c r="AZ35" s="40" t="str">
        <x:v>×</x:v>
      </x:c>
      <x:c r="BA35" s="40" t="str">
        <x:v>×</x:v>
      </x:c>
      <x:c r="BB35" s="41" t="str">
        <x:v>×</x:v>
      </x:c>
    </x:row>
    <x:row r="36">
      <x:c r="A36" s="37" t="str">
        <x:v>giss_e2_1_h</x:v>
      </x:c>
      <x:c r="B36" s="38" t="n">
        <x:f>COUNTIF(D36:BB36,"&lt;&gt;×")</x:f>
        <x:v>35</x:v>
      </x:c>
      <x:c r="C36" s="39" t="n">
        <x:f>B36/51</x:f>
        <x:v>0.6862745098039216</x:v>
      </x:c>
      <x:c r="D36" s="40" t="str">
        <x:v>M</x:v>
      </x:c>
      <x:c r="E36" s="40" t="str">
        <x:v>×</x:v>
      </x:c>
      <x:c r="F36" s="40" t="str">
        <x:v>M</x:v>
      </x:c>
      <x:c r="G36" s="40" t="str">
        <x:v>M</x:v>
      </x:c>
      <x:c r="H36" s="40" t="str">
        <x:v>M</x:v>
      </x:c>
      <x:c r="I36" s="40" t="str">
        <x:v>M</x:v>
      </x:c>
      <x:c r="J36" s="40" t="str">
        <x:v>×</x:v>
      </x:c>
      <x:c r="K36" s="40" t="str">
        <x:v>M</x:v>
      </x:c>
      <x:c r="L36" s="40" t="str">
        <x:v>×</x:v>
      </x:c>
      <x:c r="M36" s="40" t="str">
        <x:v>×</x:v>
      </x:c>
      <x:c r="N36" s="40" t="str">
        <x:v>×</x:v>
      </x:c>
      <x:c r="O36" s="40" t="str">
        <x:v>×</x:v>
      </x:c>
      <x:c r="P36" s="40" t="str">
        <x:v>M</x:v>
      </x:c>
      <x:c r="Q36" s="40" t="str">
        <x:v>M</x:v>
      </x:c>
      <x:c r="R36" s="40" t="str">
        <x:v>M</x:v>
      </x:c>
      <x:c r="S36" s="40" t="str">
        <x:v>M</x:v>
      </x:c>
      <x:c r="T36" s="40" t="str">
        <x:v>M</x:v>
      </x:c>
      <x:c r="U36" s="40" t="str">
        <x:v>M</x:v>
      </x:c>
      <x:c r="V36" s="40" t="str">
        <x:v>×</x:v>
      </x:c>
      <x:c r="W36" s="40" t="str">
        <x:v>M</x:v>
      </x:c>
      <x:c r="X36" s="40" t="str">
        <x:v>×</x:v>
      </x:c>
      <x:c r="Y36" s="40" t="str">
        <x:v>×</x:v>
      </x:c>
      <x:c r="Z36" s="40" t="str">
        <x:v>×</x:v>
      </x:c>
      <x:c r="AA36" s="40" t="str">
        <x:v>M</x:v>
      </x:c>
      <x:c r="AB36" s="40" t="str">
        <x:v>×</x:v>
      </x:c>
      <x:c r="AC36" s="40" t="str">
        <x:v>×</x:v>
      </x:c>
      <x:c r="AD36" s="40" t="str">
        <x:v>×</x:v>
      </x:c>
      <x:c r="AE36" s="40" t="str">
        <x:v>M</x:v>
      </x:c>
      <x:c r="AF36" s="40" t="str">
        <x:v>M</x:v>
      </x:c>
      <x:c r="AG36" s="40" t="str">
        <x:v>M</x:v>
      </x:c>
      <x:c r="AH36" s="40" t="str">
        <x:v>M</x:v>
      </x:c>
      <x:c r="AI36" s="40" t="str">
        <x:v>M</x:v>
      </x:c>
      <x:c r="AJ36" s="40" t="str">
        <x:v>×</x:v>
      </x:c>
      <x:c r="AK36" s="40" t="str">
        <x:v>M</x:v>
      </x:c>
      <x:c r="AL36" s="40" t="str">
        <x:v>×</x:v>
      </x:c>
      <x:c r="AM36" s="40" t="str">
        <x:v>M</x:v>
      </x:c>
      <x:c r="AN36" s="40" t="str">
        <x:v>M</x:v>
      </x:c>
      <x:c r="AO36" s="40" t="str">
        <x:v>M</x:v>
      </x:c>
      <x:c r="AP36" s="40" t="str">
        <x:v>M</x:v>
      </x:c>
      <x:c r="AQ36" s="40" t="str">
        <x:v>M</x:v>
      </x:c>
      <x:c r="AR36" s="40" t="str">
        <x:v>M</x:v>
      </x:c>
      <x:c r="AS36" s="40" t="str">
        <x:v>×</x:v>
      </x:c>
      <x:c r="AT36" s="40" t="str">
        <x:v>M</x:v>
      </x:c>
      <x:c r="AU36" s="40" t="str">
        <x:v>M</x:v>
      </x:c>
      <x:c r="AV36" s="40" t="str">
        <x:v>M</x:v>
      </x:c>
      <x:c r="AW36" s="40" t="str">
        <x:v>M</x:v>
      </x:c>
      <x:c r="AX36" s="40" t="str">
        <x:v>M</x:v>
      </x:c>
      <x:c r="AY36" s="40" t="str">
        <x:v>M</x:v>
      </x:c>
      <x:c r="AZ36" s="40" t="str">
        <x:v>M</x:v>
      </x:c>
      <x:c r="BA36" s="40" t="str">
        <x:v>M</x:v>
      </x:c>
      <x:c r="BB36" s="41" t="str">
        <x:v>M</x:v>
      </x:c>
    </x:row>
    <x:row r="37">
      <x:c r="A37" s="37" t="str">
        <x:v>hadgem3_gc31_ll</x:v>
      </x:c>
      <x:c r="B37" s="38" t="n">
        <x:f>COUNTIF(D37:BB37,"&lt;&gt;×")</x:f>
        <x:v>39</x:v>
      </x:c>
      <x:c r="C37" s="39" t="n">
        <x:f>B37/51</x:f>
        <x:v>0.7647058823529411</x:v>
      </x:c>
      <x:c r="D37" s="40" t="str">
        <x:v>M</x:v>
      </x:c>
      <x:c r="E37" s="40" t="str">
        <x:v>×</x:v>
      </x:c>
      <x:c r="F37" s="40" t="str">
        <x:v>M</x:v>
      </x:c>
      <x:c r="G37" s="40" t="str">
        <x:v>M+D</x:v>
      </x:c>
      <x:c r="H37" s="40" t="str">
        <x:v>M</x:v>
      </x:c>
      <x:c r="I37" s="40" t="str">
        <x:v>M</x:v>
      </x:c>
      <x:c r="J37" s="40" t="str">
        <x:v>M</x:v>
      </x:c>
      <x:c r="K37" s="40" t="str">
        <x:v>M</x:v>
      </x:c>
      <x:c r="L37" s="40" t="str">
        <x:v>×</x:v>
      </x:c>
      <x:c r="M37" s="40" t="str">
        <x:v>×</x:v>
      </x:c>
      <x:c r="N37" s="40" t="str">
        <x:v>×</x:v>
      </x:c>
      <x:c r="O37" s="40" t="str">
        <x:v>×</x:v>
      </x:c>
      <x:c r="P37" s="40" t="str">
        <x:v>M+D</x:v>
      </x:c>
      <x:c r="Q37" s="40" t="str">
        <x:v>×</x:v>
      </x:c>
      <x:c r="R37" s="40" t="str">
        <x:v>M+D</x:v>
      </x:c>
      <x:c r="S37" s="40" t="str">
        <x:v>M+D</x:v>
      </x:c>
      <x:c r="T37" s="40" t="str">
        <x:v>M</x:v>
      </x:c>
      <x:c r="U37" s="40" t="str">
        <x:v>M</x:v>
      </x:c>
      <x:c r="V37" s="40" t="str">
        <x:v>×</x:v>
      </x:c>
      <x:c r="W37" s="40" t="str">
        <x:v>M+D</x:v>
      </x:c>
      <x:c r="X37" s="40" t="str">
        <x:v>M</x:v>
      </x:c>
      <x:c r="Y37" s="40" t="str">
        <x:v>×</x:v>
      </x:c>
      <x:c r="Z37" s="40" t="str">
        <x:v>×</x:v>
      </x:c>
      <x:c r="AA37" s="40" t="str">
        <x:v>M</x:v>
      </x:c>
      <x:c r="AB37" s="40" t="str">
        <x:v>M</x:v>
      </x:c>
      <x:c r="AC37" s="40" t="str">
        <x:v>M</x:v>
      </x:c>
      <x:c r="AD37" s="40" t="str">
        <x:v>M+D</x:v>
      </x:c>
      <x:c r="AE37" s="40" t="str">
        <x:v>M</x:v>
      </x:c>
      <x:c r="AF37" s="40" t="str">
        <x:v>M</x:v>
      </x:c>
      <x:c r="AG37" s="40" t="str">
        <x:v>M</x:v>
      </x:c>
      <x:c r="AH37" s="40" t="str">
        <x:v>×</x:v>
      </x:c>
      <x:c r="AI37" s="40" t="str">
        <x:v>M</x:v>
      </x:c>
      <x:c r="AJ37" s="40" t="str">
        <x:v>M</x:v>
      </x:c>
      <x:c r="AK37" s="40" t="str">
        <x:v>M</x:v>
      </x:c>
      <x:c r="AL37" s="40" t="str">
        <x:v>×</x:v>
      </x:c>
      <x:c r="AM37" s="40" t="str">
        <x:v>M</x:v>
      </x:c>
      <x:c r="AN37" s="40" t="str">
        <x:v>M</x:v>
      </x:c>
      <x:c r="AO37" s="40" t="str">
        <x:v>M</x:v>
      </x:c>
      <x:c r="AP37" s="40" t="str">
        <x:v>M</x:v>
      </x:c>
      <x:c r="AQ37" s="40" t="str">
        <x:v>×</x:v>
      </x:c>
      <x:c r="AR37" s="40" t="str">
        <x:v>M</x:v>
      </x:c>
      <x:c r="AS37" s="40" t="str">
        <x:v>M</x:v>
      </x:c>
      <x:c r="AT37" s="40" t="str">
        <x:v>M</x:v>
      </x:c>
      <x:c r="AU37" s="40" t="str">
        <x:v>M</x:v>
      </x:c>
      <x:c r="AV37" s="40" t="str">
        <x:v>M</x:v>
      </x:c>
      <x:c r="AW37" s="40" t="str">
        <x:v>M</x:v>
      </x:c>
      <x:c r="AX37" s="40" t="str">
        <x:v>M</x:v>
      </x:c>
      <x:c r="AY37" s="40" t="str">
        <x:v>M</x:v>
      </x:c>
      <x:c r="AZ37" s="40" t="str">
        <x:v>M</x:v>
      </x:c>
      <x:c r="BA37" s="40" t="str">
        <x:v>M</x:v>
      </x:c>
      <x:c r="BB37" s="41" t="str">
        <x:v>M</x:v>
      </x:c>
    </x:row>
    <x:row r="38">
      <x:c r="A38" s="37" t="str">
        <x:v>hadgem3_gc31_mm</x:v>
      </x:c>
      <x:c r="B38" s="38" t="n">
        <x:f>COUNTIF(D38:BB38,"&lt;&gt;×")</x:f>
        <x:v>37</x:v>
      </x:c>
      <x:c r="C38" s="39" t="n">
        <x:f>B38/51</x:f>
        <x:v>0.7254901960784313</x:v>
      </x:c>
      <x:c r="D38" s="40" t="str">
        <x:v>M</x:v>
      </x:c>
      <x:c r="E38" s="40" t="str">
        <x:v>×</x:v>
      </x:c>
      <x:c r="F38" s="40" t="str">
        <x:v>M</x:v>
      </x:c>
      <x:c r="G38" s="40" t="str">
        <x:v>M+D</x:v>
      </x:c>
      <x:c r="H38" s="40" t="str">
        <x:v>M</x:v>
      </x:c>
      <x:c r="I38" s="40" t="str">
        <x:v>M</x:v>
      </x:c>
      <x:c r="J38" s="40" t="str">
        <x:v>M</x:v>
      </x:c>
      <x:c r="K38" s="40" t="str">
        <x:v>M</x:v>
      </x:c>
      <x:c r="L38" s="40" t="str">
        <x:v>×</x:v>
      </x:c>
      <x:c r="M38" s="40" t="str">
        <x:v>×</x:v>
      </x:c>
      <x:c r="N38" s="40" t="str">
        <x:v>×</x:v>
      </x:c>
      <x:c r="O38" s="40" t="str">
        <x:v>×</x:v>
      </x:c>
      <x:c r="P38" s="40" t="str">
        <x:v>M+D</x:v>
      </x:c>
      <x:c r="Q38" s="40" t="str">
        <x:v>×</x:v>
      </x:c>
      <x:c r="R38" s="40" t="str">
        <x:v>M+D</x:v>
      </x:c>
      <x:c r="S38" s="40" t="str">
        <x:v>M+D</x:v>
      </x:c>
      <x:c r="T38" s="40" t="str">
        <x:v>M</x:v>
      </x:c>
      <x:c r="U38" s="40" t="str">
        <x:v>M</x:v>
      </x:c>
      <x:c r="V38" s="40" t="str">
        <x:v>×</x:v>
      </x:c>
      <x:c r="W38" s="40" t="str">
        <x:v>M+D</x:v>
      </x:c>
      <x:c r="X38" s="40" t="str">
        <x:v>M</x:v>
      </x:c>
      <x:c r="Y38" s="40" t="str">
        <x:v>×</x:v>
      </x:c>
      <x:c r="Z38" s="40" t="str">
        <x:v>×</x:v>
      </x:c>
      <x:c r="AA38" s="40" t="str">
        <x:v>M</x:v>
      </x:c>
      <x:c r="AB38" s="40" t="str">
        <x:v>×</x:v>
      </x:c>
      <x:c r="AC38" s="40" t="str">
        <x:v>×</x:v>
      </x:c>
      <x:c r="AD38" s="40" t="str">
        <x:v>M+D</x:v>
      </x:c>
      <x:c r="AE38" s="40" t="str">
        <x:v>M</x:v>
      </x:c>
      <x:c r="AF38" s="40" t="str">
        <x:v>M</x:v>
      </x:c>
      <x:c r="AG38" s="40" t="str">
        <x:v>M</x:v>
      </x:c>
      <x:c r="AH38" s="40" t="str">
        <x:v>×</x:v>
      </x:c>
      <x:c r="AI38" s="40" t="str">
        <x:v>M</x:v>
      </x:c>
      <x:c r="AJ38" s="40" t="str">
        <x:v>M</x:v>
      </x:c>
      <x:c r="AK38" s="40" t="str">
        <x:v>M</x:v>
      </x:c>
      <x:c r="AL38" s="40" t="str">
        <x:v>×</x:v>
      </x:c>
      <x:c r="AM38" s="40" t="str">
        <x:v>M</x:v>
      </x:c>
      <x:c r="AN38" s="40" t="str">
        <x:v>M</x:v>
      </x:c>
      <x:c r="AO38" s="40" t="str">
        <x:v>M</x:v>
      </x:c>
      <x:c r="AP38" s="40" t="str">
        <x:v>M</x:v>
      </x:c>
      <x:c r="AQ38" s="40" t="str">
        <x:v>×</x:v>
      </x:c>
      <x:c r="AR38" s="40" t="str">
        <x:v>M</x:v>
      </x:c>
      <x:c r="AS38" s="40" t="str">
        <x:v>M</x:v>
      </x:c>
      <x:c r="AT38" s="40" t="str">
        <x:v>M</x:v>
      </x:c>
      <x:c r="AU38" s="40" t="str">
        <x:v>M</x:v>
      </x:c>
      <x:c r="AV38" s="40" t="str">
        <x:v>M</x:v>
      </x:c>
      <x:c r="AW38" s="40" t="str">
        <x:v>M</x:v>
      </x:c>
      <x:c r="AX38" s="40" t="str">
        <x:v>M</x:v>
      </x:c>
      <x:c r="AY38" s="40" t="str">
        <x:v>M</x:v>
      </x:c>
      <x:c r="AZ38" s="40" t="str">
        <x:v>M</x:v>
      </x:c>
      <x:c r="BA38" s="40" t="str">
        <x:v>M</x:v>
      </x:c>
      <x:c r="BB38" s="41" t="str">
        <x:v>M</x:v>
      </x:c>
    </x:row>
    <x:row r="39">
      <x:c r="A39" s="37" t="str">
        <x:v>iitm_esm</x:v>
      </x:c>
      <x:c r="B39" s="38" t="n">
        <x:f>COUNTIF(D39:BB39,"&lt;&gt;×")</x:f>
        <x:v>29</x:v>
      </x:c>
      <x:c r="C39" s="39" t="n">
        <x:f>B39/51</x:f>
        <x:v>0.5686274509803921</x:v>
      </x:c>
      <x:c r="D39" s="40" t="str">
        <x:v>M</x:v>
      </x:c>
      <x:c r="E39" s="40" t="str">
        <x:v>×</x:v>
      </x:c>
      <x:c r="F39" s="40" t="str">
        <x:v>×</x:v>
      </x:c>
      <x:c r="G39" s="40" t="str">
        <x:v>×</x:v>
      </x:c>
      <x:c r="H39" s="40" t="str">
        <x:v>M</x:v>
      </x:c>
      <x:c r="I39" s="40" t="str">
        <x:v>M</x:v>
      </x:c>
      <x:c r="J39" s="40" t="str">
        <x:v>M</x:v>
      </x:c>
      <x:c r="K39" s="40" t="str">
        <x:v>M</x:v>
      </x:c>
      <x:c r="L39" s="40" t="str">
        <x:v>×</x:v>
      </x:c>
      <x:c r="M39" s="40" t="str">
        <x:v>×</x:v>
      </x:c>
      <x:c r="N39" s="40" t="str">
        <x:v>×</x:v>
      </x:c>
      <x:c r="O39" s="40" t="str">
        <x:v>×</x:v>
      </x:c>
      <x:c r="P39" s="40" t="str">
        <x:v>M+D</x:v>
      </x:c>
      <x:c r="Q39" s="40" t="str">
        <x:v>×</x:v>
      </x:c>
      <x:c r="R39" s="40" t="str">
        <x:v>M+D</x:v>
      </x:c>
      <x:c r="S39" s="40" t="str">
        <x:v>M+D</x:v>
      </x:c>
      <x:c r="T39" s="40" t="str">
        <x:v>M</x:v>
      </x:c>
      <x:c r="U39" s="40" t="str">
        <x:v>M</x:v>
      </x:c>
      <x:c r="V39" s="40" t="str">
        <x:v>×</x:v>
      </x:c>
      <x:c r="W39" s="40" t="str">
        <x:v>M+D</x:v>
      </x:c>
      <x:c r="X39" s="40" t="str">
        <x:v>×</x:v>
      </x:c>
      <x:c r="Y39" s="40" t="str">
        <x:v>×</x:v>
      </x:c>
      <x:c r="Z39" s="40" t="str">
        <x:v>×</x:v>
      </x:c>
      <x:c r="AA39" s="40" t="str">
        <x:v>×</x:v>
      </x:c>
      <x:c r="AB39" s="40" t="str">
        <x:v>×</x:v>
      </x:c>
      <x:c r="AC39" s="40" t="str">
        <x:v>×</x:v>
      </x:c>
      <x:c r="AD39" s="40" t="str">
        <x:v>M</x:v>
      </x:c>
      <x:c r="AE39" s="40" t="str">
        <x:v>×</x:v>
      </x:c>
      <x:c r="AF39" s="40" t="str">
        <x:v>M</x:v>
      </x:c>
      <x:c r="AG39" s="40" t="str">
        <x:v>M</x:v>
      </x:c>
      <x:c r="AH39" s="40" t="str">
        <x:v>×</x:v>
      </x:c>
      <x:c r="AI39" s="40" t="str">
        <x:v>M</x:v>
      </x:c>
      <x:c r="AJ39" s="40" t="str">
        <x:v>M</x:v>
      </x:c>
      <x:c r="AK39" s="40" t="str">
        <x:v>×</x:v>
      </x:c>
      <x:c r="AL39" s="40" t="str">
        <x:v>×</x:v>
      </x:c>
      <x:c r="AM39" s="40" t="str">
        <x:v>M</x:v>
      </x:c>
      <x:c r="AN39" s="40" t="str">
        <x:v>M</x:v>
      </x:c>
      <x:c r="AO39" s="40" t="str">
        <x:v>M</x:v>
      </x:c>
      <x:c r="AP39" s="40" t="str">
        <x:v>M</x:v>
      </x:c>
      <x:c r="AQ39" s="40" t="str">
        <x:v>×</x:v>
      </x:c>
      <x:c r="AR39" s="40" t="str">
        <x:v>M</x:v>
      </x:c>
      <x:c r="AS39" s="40" t="str">
        <x:v>×</x:v>
      </x:c>
      <x:c r="AT39" s="40" t="str">
        <x:v>M</x:v>
      </x:c>
      <x:c r="AU39" s="40" t="str">
        <x:v>M</x:v>
      </x:c>
      <x:c r="AV39" s="40" t="str">
        <x:v>M</x:v>
      </x:c>
      <x:c r="AW39" s="40" t="str">
        <x:v>M</x:v>
      </x:c>
      <x:c r="AX39" s="40" t="str">
        <x:v>M</x:v>
      </x:c>
      <x:c r="AY39" s="40" t="str">
        <x:v>M</x:v>
      </x:c>
      <x:c r="AZ39" s="40" t="str">
        <x:v>M</x:v>
      </x:c>
      <x:c r="BA39" s="40" t="str">
        <x:v>M</x:v>
      </x:c>
      <x:c r="BB39" s="41" t="str">
        <x:v>×</x:v>
      </x:c>
    </x:row>
    <x:row r="40">
      <x:c r="A40" s="37" t="str">
        <x:v>inm_cm4_8</x:v>
      </x:c>
      <x:c r="B40" s="38" t="n">
        <x:f>COUNTIF(D40:BB40,"&lt;&gt;×")</x:f>
        <x:v>42</x:v>
      </x:c>
      <x:c r="C40" s="39" t="n">
        <x:f>B40/51</x:f>
        <x:v>0.8235294117647058</x:v>
      </x:c>
      <x:c r="D40" s="40" t="str">
        <x:v>M</x:v>
      </x:c>
      <x:c r="E40" s="40" t="str">
        <x:v>F</x:v>
      </x:c>
      <x:c r="F40" s="40" t="str">
        <x:v>M+D</x:v>
      </x:c>
      <x:c r="G40" s="40" t="str">
        <x:v>M+D</x:v>
      </x:c>
      <x:c r="H40" s="40" t="str">
        <x:v>M</x:v>
      </x:c>
      <x:c r="I40" s="40" t="str">
        <x:v>M</x:v>
      </x:c>
      <x:c r="J40" s="40" t="str">
        <x:v>M</x:v>
      </x:c>
      <x:c r="K40" s="40" t="str">
        <x:v>M</x:v>
      </x:c>
      <x:c r="L40" s="40" t="str">
        <x:v>F</x:v>
      </x:c>
      <x:c r="M40" s="40" t="str">
        <x:v>×</x:v>
      </x:c>
      <x:c r="N40" s="40" t="str">
        <x:v>F</x:v>
      </x:c>
      <x:c r="O40" s="40" t="str">
        <x:v>×</x:v>
      </x:c>
      <x:c r="P40" s="40" t="str">
        <x:v>M+D</x:v>
      </x:c>
      <x:c r="Q40" s="40" t="str">
        <x:v>×</x:v>
      </x:c>
      <x:c r="R40" s="40" t="str">
        <x:v>M+D</x:v>
      </x:c>
      <x:c r="S40" s="40" t="str">
        <x:v>M+D</x:v>
      </x:c>
      <x:c r="T40" s="40" t="str">
        <x:v>M</x:v>
      </x:c>
      <x:c r="U40" s="40" t="str">
        <x:v>M</x:v>
      </x:c>
      <x:c r="V40" s="40" t="str">
        <x:v>F</x:v>
      </x:c>
      <x:c r="W40" s="40" t="str">
        <x:v>M+D</x:v>
      </x:c>
      <x:c r="X40" s="40" t="str">
        <x:v>M</x:v>
      </x:c>
      <x:c r="Y40" s="40" t="str">
        <x:v>×</x:v>
      </x:c>
      <x:c r="Z40" s="40" t="str">
        <x:v>×</x:v>
      </x:c>
      <x:c r="AA40" s="40" t="str">
        <x:v>M</x:v>
      </x:c>
      <x:c r="AB40" s="40" t="str">
        <x:v>M</x:v>
      </x:c>
      <x:c r="AC40" s="40" t="str">
        <x:v>×</x:v>
      </x:c>
      <x:c r="AD40" s="40" t="str">
        <x:v>M+D</x:v>
      </x:c>
      <x:c r="AE40" s="40" t="str">
        <x:v>M</x:v>
      </x:c>
      <x:c r="AF40" s="40" t="str">
        <x:v>M</x:v>
      </x:c>
      <x:c r="AG40" s="40" t="str">
        <x:v>M</x:v>
      </x:c>
      <x:c r="AH40" s="40" t="str">
        <x:v>×</x:v>
      </x:c>
      <x:c r="AI40" s="40" t="str">
        <x:v>M</x:v>
      </x:c>
      <x:c r="AJ40" s="40" t="str">
        <x:v>M</x:v>
      </x:c>
      <x:c r="AK40" s="40" t="str">
        <x:v>M</x:v>
      </x:c>
      <x:c r="AL40" s="40" t="str">
        <x:v>F</x:v>
      </x:c>
      <x:c r="AM40" s="40" t="str">
        <x:v>M</x:v>
      </x:c>
      <x:c r="AN40" s="40" t="str">
        <x:v>M</x:v>
      </x:c>
      <x:c r="AO40" s="40" t="str">
        <x:v>M</x:v>
      </x:c>
      <x:c r="AP40" s="40" t="str">
        <x:v>M</x:v>
      </x:c>
      <x:c r="AQ40" s="40" t="str">
        <x:v>×</x:v>
      </x:c>
      <x:c r="AR40" s="40" t="str">
        <x:v>M</x:v>
      </x:c>
      <x:c r="AS40" s="40" t="str">
        <x:v>×</x:v>
      </x:c>
      <x:c r="AT40" s="40" t="str">
        <x:v>M</x:v>
      </x:c>
      <x:c r="AU40" s="40" t="str">
        <x:v>M</x:v>
      </x:c>
      <x:c r="AV40" s="40" t="str">
        <x:v>M</x:v>
      </x:c>
      <x:c r="AW40" s="40" t="str">
        <x:v>M</x:v>
      </x:c>
      <x:c r="AX40" s="40" t="str">
        <x:v>M</x:v>
      </x:c>
      <x:c r="AY40" s="40" t="str">
        <x:v>M</x:v>
      </x:c>
      <x:c r="AZ40" s="40" t="str">
        <x:v>M</x:v>
      </x:c>
      <x:c r="BA40" s="40" t="str">
        <x:v>M</x:v>
      </x:c>
      <x:c r="BB40" s="41" t="str">
        <x:v>M</x:v>
      </x:c>
    </x:row>
    <x:row r="41">
      <x:c r="A41" s="37" t="str">
        <x:v>inm_cm5_0</x:v>
      </x:c>
      <x:c r="B41" s="38" t="n">
        <x:f>COUNTIF(D41:BB41,"&lt;&gt;×")</x:f>
        <x:v>42</x:v>
      </x:c>
      <x:c r="C41" s="39" t="n">
        <x:f>B41/51</x:f>
        <x:v>0.8235294117647058</x:v>
      </x:c>
      <x:c r="D41" s="40" t="str">
        <x:v>M</x:v>
      </x:c>
      <x:c r="E41" s="40" t="str">
        <x:v>F</x:v>
      </x:c>
      <x:c r="F41" s="40" t="str">
        <x:v>M+D</x:v>
      </x:c>
      <x:c r="G41" s="40" t="str">
        <x:v>M+D</x:v>
      </x:c>
      <x:c r="H41" s="40" t="str">
        <x:v>M</x:v>
      </x:c>
      <x:c r="I41" s="40" t="str">
        <x:v>M</x:v>
      </x:c>
      <x:c r="J41" s="40" t="str">
        <x:v>M</x:v>
      </x:c>
      <x:c r="K41" s="40" t="str">
        <x:v>M</x:v>
      </x:c>
      <x:c r="L41" s="40" t="str">
        <x:v>F</x:v>
      </x:c>
      <x:c r="M41" s="40" t="str">
        <x:v>×</x:v>
      </x:c>
      <x:c r="N41" s="40" t="str">
        <x:v>F</x:v>
      </x:c>
      <x:c r="O41" s="40" t="str">
        <x:v>×</x:v>
      </x:c>
      <x:c r="P41" s="40" t="str">
        <x:v>M+D</x:v>
      </x:c>
      <x:c r="Q41" s="40" t="str">
        <x:v>×</x:v>
      </x:c>
      <x:c r="R41" s="40" t="str">
        <x:v>M+D</x:v>
      </x:c>
      <x:c r="S41" s="40" t="str">
        <x:v>M+D</x:v>
      </x:c>
      <x:c r="T41" s="40" t="str">
        <x:v>M</x:v>
      </x:c>
      <x:c r="U41" s="40" t="str">
        <x:v>M</x:v>
      </x:c>
      <x:c r="V41" s="40" t="str">
        <x:v>F</x:v>
      </x:c>
      <x:c r="W41" s="40" t="str">
        <x:v>M+D</x:v>
      </x:c>
      <x:c r="X41" s="40" t="str">
        <x:v>M</x:v>
      </x:c>
      <x:c r="Y41" s="40" t="str">
        <x:v>×</x:v>
      </x:c>
      <x:c r="Z41" s="40" t="str">
        <x:v>×</x:v>
      </x:c>
      <x:c r="AA41" s="40" t="str">
        <x:v>M</x:v>
      </x:c>
      <x:c r="AB41" s="40" t="str">
        <x:v>M</x:v>
      </x:c>
      <x:c r="AC41" s="40" t="str">
        <x:v>×</x:v>
      </x:c>
      <x:c r="AD41" s="40" t="str">
        <x:v>M+D</x:v>
      </x:c>
      <x:c r="AE41" s="40" t="str">
        <x:v>M</x:v>
      </x:c>
      <x:c r="AF41" s="40" t="str">
        <x:v>M</x:v>
      </x:c>
      <x:c r="AG41" s="40" t="str">
        <x:v>M</x:v>
      </x:c>
      <x:c r="AH41" s="40" t="str">
        <x:v>×</x:v>
      </x:c>
      <x:c r="AI41" s="40" t="str">
        <x:v>M</x:v>
      </x:c>
      <x:c r="AJ41" s="40" t="str">
        <x:v>M</x:v>
      </x:c>
      <x:c r="AK41" s="40" t="str">
        <x:v>M</x:v>
      </x:c>
      <x:c r="AL41" s="40" t="str">
        <x:v>F</x:v>
      </x:c>
      <x:c r="AM41" s="40" t="str">
        <x:v>M</x:v>
      </x:c>
      <x:c r="AN41" s="40" t="str">
        <x:v>M</x:v>
      </x:c>
      <x:c r="AO41" s="40" t="str">
        <x:v>M</x:v>
      </x:c>
      <x:c r="AP41" s="40" t="str">
        <x:v>M</x:v>
      </x:c>
      <x:c r="AQ41" s="40" t="str">
        <x:v>×</x:v>
      </x:c>
      <x:c r="AR41" s="40" t="str">
        <x:v>M</x:v>
      </x:c>
      <x:c r="AS41" s="40" t="str">
        <x:v>×</x:v>
      </x:c>
      <x:c r="AT41" s="40" t="str">
        <x:v>M</x:v>
      </x:c>
      <x:c r="AU41" s="40" t="str">
        <x:v>M</x:v>
      </x:c>
      <x:c r="AV41" s="40" t="str">
        <x:v>M</x:v>
      </x:c>
      <x:c r="AW41" s="40" t="str">
        <x:v>M</x:v>
      </x:c>
      <x:c r="AX41" s="40" t="str">
        <x:v>M</x:v>
      </x:c>
      <x:c r="AY41" s="40" t="str">
        <x:v>M</x:v>
      </x:c>
      <x:c r="AZ41" s="40" t="str">
        <x:v>M</x:v>
      </x:c>
      <x:c r="BA41" s="40" t="str">
        <x:v>M</x:v>
      </x:c>
      <x:c r="BB41" s="41" t="str">
        <x:v>M</x:v>
      </x:c>
    </x:row>
    <x:row r="42">
      <x:c r="A42" s="37" t="str">
        <x:v>ipsl_cm5a2_inca</x:v>
      </x:c>
      <x:c r="B42" s="38" t="n">
        <x:f>COUNTIF(D42:BB42,"&lt;&gt;×")</x:f>
        <x:v>30</x:v>
      </x:c>
      <x:c r="C42" s="39" t="n">
        <x:f>B42/51</x:f>
        <x:v>0.5882352941176471</x:v>
      </x:c>
      <x:c r="D42" s="40" t="str">
        <x:v>M</x:v>
      </x:c>
      <x:c r="E42" s="40" t="str">
        <x:v>×</x:v>
      </x:c>
      <x:c r="F42" s="40" t="str">
        <x:v>×</x:v>
      </x:c>
      <x:c r="G42" s="40" t="str">
        <x:v>×</x:v>
      </x:c>
      <x:c r="H42" s="40" t="str">
        <x:v>M</x:v>
      </x:c>
      <x:c r="I42" s="40" t="str">
        <x:v>M</x:v>
      </x:c>
      <x:c r="J42" s="40" t="str">
        <x:v>M</x:v>
      </x:c>
      <x:c r="K42" s="40" t="str">
        <x:v>×</x:v>
      </x:c>
      <x:c r="L42" s="40" t="str">
        <x:v>F</x:v>
      </x:c>
      <x:c r="M42" s="40" t="str">
        <x:v>×</x:v>
      </x:c>
      <x:c r="N42" s="40" t="str">
        <x:v>×</x:v>
      </x:c>
      <x:c r="O42" s="40" t="str">
        <x:v>×</x:v>
      </x:c>
      <x:c r="P42" s="40" t="str">
        <x:v>M+D</x:v>
      </x:c>
      <x:c r="Q42" s="40" t="str">
        <x:v>M</x:v>
      </x:c>
      <x:c r="R42" s="40" t="str">
        <x:v>M</x:v>
      </x:c>
      <x:c r="S42" s="40" t="str">
        <x:v>M+D</x:v>
      </x:c>
      <x:c r="T42" s="40" t="str">
        <x:v>M</x:v>
      </x:c>
      <x:c r="U42" s="40" t="str">
        <x:v>M</x:v>
      </x:c>
      <x:c r="V42" s="40" t="str">
        <x:v>×</x:v>
      </x:c>
      <x:c r="W42" s="40" t="str">
        <x:v>M+D</x:v>
      </x:c>
      <x:c r="X42" s="40" t="str">
        <x:v>×</x:v>
      </x:c>
      <x:c r="Y42" s="40" t="str">
        <x:v>×</x:v>
      </x:c>
      <x:c r="Z42" s="40" t="str">
        <x:v>×</x:v>
      </x:c>
      <x:c r="AA42" s="40" t="str">
        <x:v>M</x:v>
      </x:c>
      <x:c r="AB42" s="40" t="str">
        <x:v>×</x:v>
      </x:c>
      <x:c r="AC42" s="40" t="str">
        <x:v>M</x:v>
      </x:c>
      <x:c r="AD42" s="40" t="str">
        <x:v>M+D</x:v>
      </x:c>
      <x:c r="AE42" s="40" t="str">
        <x:v>×</x:v>
      </x:c>
      <x:c r="AF42" s="40" t="str">
        <x:v>M</x:v>
      </x:c>
      <x:c r="AG42" s="40" t="str">
        <x:v>M</x:v>
      </x:c>
      <x:c r="AH42" s="40" t="str">
        <x:v>×</x:v>
      </x:c>
      <x:c r="AI42" s="40" t="str">
        <x:v>M</x:v>
      </x:c>
      <x:c r="AJ42" s="40" t="str">
        <x:v>M</x:v>
      </x:c>
      <x:c r="AK42" s="40" t="str">
        <x:v>M</x:v>
      </x:c>
      <x:c r="AL42" s="40" t="str">
        <x:v>×</x:v>
      </x:c>
      <x:c r="AM42" s="40" t="str">
        <x:v>M</x:v>
      </x:c>
      <x:c r="AN42" s="40" t="str">
        <x:v>M</x:v>
      </x:c>
      <x:c r="AO42" s="40" t="str">
        <x:v>M</x:v>
      </x:c>
      <x:c r="AP42" s="40" t="str">
        <x:v>M</x:v>
      </x:c>
      <x:c r="AQ42" s="40" t="str">
        <x:v>×</x:v>
      </x:c>
      <x:c r="AR42" s="40" t="str">
        <x:v>M</x:v>
      </x:c>
      <x:c r="AS42" s="40" t="str">
        <x:v>×</x:v>
      </x:c>
      <x:c r="AT42" s="40" t="str">
        <x:v>×</x:v>
      </x:c>
      <x:c r="AU42" s="40" t="str">
        <x:v>×</x:v>
      </x:c>
      <x:c r="AV42" s="40" t="str">
        <x:v>M</x:v>
      </x:c>
      <x:c r="AW42" s="40" t="str">
        <x:v>M</x:v>
      </x:c>
      <x:c r="AX42" s="40" t="str">
        <x:v>M</x:v>
      </x:c>
      <x:c r="AY42" s="40" t="str">
        <x:v>M</x:v>
      </x:c>
      <x:c r="AZ42" s="40" t="str">
        <x:v>M</x:v>
      </x:c>
      <x:c r="BA42" s="40" t="str">
        <x:v>×</x:v>
      </x:c>
      <x:c r="BB42" s="41" t="str">
        <x:v>×</x:v>
      </x:c>
    </x:row>
    <x:row r="43">
      <x:c r="A43" s="37" t="str">
        <x:v>ipsl_cm6a_lr</x:v>
      </x:c>
      <x:c r="B43" s="38" t="n">
        <x:f>COUNTIF(D43:BB43,"&lt;&gt;×")</x:f>
        <x:v>40</x:v>
      </x:c>
      <x:c r="C43" s="39" t="n">
        <x:f>B43/51</x:f>
        <x:v>0.7843137254901961</x:v>
      </x:c>
      <x:c r="D43" s="40" t="str">
        <x:v>M</x:v>
      </x:c>
      <x:c r="E43" s="40" t="str">
        <x:v>×</x:v>
      </x:c>
      <x:c r="F43" s="40" t="str">
        <x:v>M+D</x:v>
      </x:c>
      <x:c r="G43" s="40" t="str">
        <x:v>M+D</x:v>
      </x:c>
      <x:c r="H43" s="40" t="str">
        <x:v>M</x:v>
      </x:c>
      <x:c r="I43" s="40" t="str">
        <x:v>M</x:v>
      </x:c>
      <x:c r="J43" s="40" t="str">
        <x:v>×</x:v>
      </x:c>
      <x:c r="K43" s="40" t="str">
        <x:v>M</x:v>
      </x:c>
      <x:c r="L43" s="40" t="str">
        <x:v>F</x:v>
      </x:c>
      <x:c r="M43" s="40" t="str">
        <x:v>×</x:v>
      </x:c>
      <x:c r="N43" s="40" t="str">
        <x:v>×</x:v>
      </x:c>
      <x:c r="O43" s="40" t="str">
        <x:v>×</x:v>
      </x:c>
      <x:c r="P43" s="40" t="str">
        <x:v>M+D</x:v>
      </x:c>
      <x:c r="Q43" s="40" t="str">
        <x:v>M</x:v>
      </x:c>
      <x:c r="R43" s="40" t="str">
        <x:v>M</x:v>
      </x:c>
      <x:c r="S43" s="40" t="str">
        <x:v>M+D</x:v>
      </x:c>
      <x:c r="T43" s="40" t="str">
        <x:v>M</x:v>
      </x:c>
      <x:c r="U43" s="40" t="str">
        <x:v>M</x:v>
      </x:c>
      <x:c r="V43" s="40" t="str">
        <x:v>×</x:v>
      </x:c>
      <x:c r="W43" s="40" t="str">
        <x:v>M+D</x:v>
      </x:c>
      <x:c r="X43" s="40" t="str">
        <x:v>M</x:v>
      </x:c>
      <x:c r="Y43" s="40" t="str">
        <x:v>×</x:v>
      </x:c>
      <x:c r="Z43" s="40" t="str">
        <x:v>×</x:v>
      </x:c>
      <x:c r="AA43" s="40" t="str">
        <x:v>M</x:v>
      </x:c>
      <x:c r="AB43" s="40" t="str">
        <x:v>×</x:v>
      </x:c>
      <x:c r="AC43" s="40" t="str">
        <x:v>M</x:v>
      </x:c>
      <x:c r="AD43" s="40" t="str">
        <x:v>×</x:v>
      </x:c>
      <x:c r="AE43" s="40" t="str">
        <x:v>M</x:v>
      </x:c>
      <x:c r="AF43" s="40" t="str">
        <x:v>M</x:v>
      </x:c>
      <x:c r="AG43" s="40" t="str">
        <x:v>M</x:v>
      </x:c>
      <x:c r="AH43" s="40" t="str">
        <x:v>M</x:v>
      </x:c>
      <x:c r="AI43" s="40" t="str">
        <x:v>M</x:v>
      </x:c>
      <x:c r="AJ43" s="40" t="str">
        <x:v>M</x:v>
      </x:c>
      <x:c r="AK43" s="40" t="str">
        <x:v>M</x:v>
      </x:c>
      <x:c r="AL43" s="40" t="str">
        <x:v>×</x:v>
      </x:c>
      <x:c r="AM43" s="40" t="str">
        <x:v>M</x:v>
      </x:c>
      <x:c r="AN43" s="40" t="str">
        <x:v>M</x:v>
      </x:c>
      <x:c r="AO43" s="40" t="str">
        <x:v>M</x:v>
      </x:c>
      <x:c r="AP43" s="40" t="str">
        <x:v>M</x:v>
      </x:c>
      <x:c r="AQ43" s="40" t="str">
        <x:v>M</x:v>
      </x:c>
      <x:c r="AR43" s="40" t="str">
        <x:v>M</x:v>
      </x:c>
      <x:c r="AS43" s="40" t="str">
        <x:v>M</x:v>
      </x:c>
      <x:c r="AT43" s="40" t="str">
        <x:v>M</x:v>
      </x:c>
      <x:c r="AU43" s="40" t="str">
        <x:v>M</x:v>
      </x:c>
      <x:c r="AV43" s="40" t="str">
        <x:v>M</x:v>
      </x:c>
      <x:c r="AW43" s="40" t="str">
        <x:v>M</x:v>
      </x:c>
      <x:c r="AX43" s="40" t="str">
        <x:v>M</x:v>
      </x:c>
      <x:c r="AY43" s="40" t="str">
        <x:v>M</x:v>
      </x:c>
      <x:c r="AZ43" s="40" t="str">
        <x:v>M</x:v>
      </x:c>
      <x:c r="BA43" s="40" t="str">
        <x:v>M</x:v>
      </x:c>
      <x:c r="BB43" s="41" t="str">
        <x:v>M</x:v>
      </x:c>
    </x:row>
    <x:row r="44">
      <x:c r="A44" s="37" t="str">
        <x:v>kace_1_0_g</x:v>
      </x:c>
      <x:c r="B44" s="38" t="n">
        <x:f>COUNTIF(D44:BB44,"&lt;&gt;×")</x:f>
        <x:v>32</x:v>
      </x:c>
      <x:c r="C44" s="39" t="n">
        <x:f>B44/51</x:f>
        <x:v>0.6274509803921569</x:v>
      </x:c>
      <x:c r="D44" s="40" t="str">
        <x:v>M</x:v>
      </x:c>
      <x:c r="E44" s="40" t="str">
        <x:v>×</x:v>
      </x:c>
      <x:c r="F44" s="40" t="str">
        <x:v>D</x:v>
      </x:c>
      <x:c r="G44" s="40" t="str">
        <x:v>D</x:v>
      </x:c>
      <x:c r="H44" s="40" t="str">
        <x:v>M</x:v>
      </x:c>
      <x:c r="I44" s="40" t="str">
        <x:v>M</x:v>
      </x:c>
      <x:c r="J44" s="40" t="str">
        <x:v>M</x:v>
      </x:c>
      <x:c r="K44" s="40" t="str">
        <x:v>M</x:v>
      </x:c>
      <x:c r="L44" s="40" t="str">
        <x:v>×</x:v>
      </x:c>
      <x:c r="M44" s="40" t="str">
        <x:v>×</x:v>
      </x:c>
      <x:c r="N44" s="40" t="str">
        <x:v>×</x:v>
      </x:c>
      <x:c r="O44" s="40" t="str">
        <x:v>M</x:v>
      </x:c>
      <x:c r="P44" s="40" t="str">
        <x:v>M+D</x:v>
      </x:c>
      <x:c r="Q44" s="40" t="str">
        <x:v>×</x:v>
      </x:c>
      <x:c r="R44" s="40" t="str">
        <x:v>M+D</x:v>
      </x:c>
      <x:c r="S44" s="40" t="str">
        <x:v>M+D</x:v>
      </x:c>
      <x:c r="T44" s="40" t="str">
        <x:v>M</x:v>
      </x:c>
      <x:c r="U44" s="40" t="str">
        <x:v>M</x:v>
      </x:c>
      <x:c r="V44" s="40" t="str">
        <x:v>×</x:v>
      </x:c>
      <x:c r="W44" s="40" t="str">
        <x:v>M+D</x:v>
      </x:c>
      <x:c r="X44" s="40" t="str">
        <x:v>M</x:v>
      </x:c>
      <x:c r="Y44" s="40" t="str">
        <x:v>×</x:v>
      </x:c>
      <x:c r="Z44" s="40" t="str">
        <x:v>×</x:v>
      </x:c>
      <x:c r="AA44" s="40" t="str">
        <x:v>×</x:v>
      </x:c>
      <x:c r="AB44" s="40" t="str">
        <x:v>×</x:v>
      </x:c>
      <x:c r="AC44" s="40" t="str">
        <x:v>×</x:v>
      </x:c>
      <x:c r="AD44" s="40" t="str">
        <x:v>M+D</x:v>
      </x:c>
      <x:c r="AE44" s="40" t="str">
        <x:v>×</x:v>
      </x:c>
      <x:c r="AF44" s="40" t="str">
        <x:v>×</x:v>
      </x:c>
      <x:c r="AG44" s="40" t="str">
        <x:v>×</x:v>
      </x:c>
      <x:c r="AH44" s="40" t="str">
        <x:v>×</x:v>
      </x:c>
      <x:c r="AI44" s="40" t="str">
        <x:v>M</x:v>
      </x:c>
      <x:c r="AJ44" s="40" t="str">
        <x:v>M</x:v>
      </x:c>
      <x:c r="AK44" s="40" t="str">
        <x:v>M</x:v>
      </x:c>
      <x:c r="AL44" s="40" t="str">
        <x:v>×</x:v>
      </x:c>
      <x:c r="AM44" s="40" t="str">
        <x:v>M</x:v>
      </x:c>
      <x:c r="AN44" s="40" t="str">
        <x:v>M</x:v>
      </x:c>
      <x:c r="AO44" s="40" t="str">
        <x:v>M</x:v>
      </x:c>
      <x:c r="AP44" s="40" t="str">
        <x:v>M</x:v>
      </x:c>
      <x:c r="AQ44" s="40" t="str">
        <x:v>×</x:v>
      </x:c>
      <x:c r="AR44" s="40" t="str">
        <x:v>M</x:v>
      </x:c>
      <x:c r="AS44" s="40" t="str">
        <x:v>×</x:v>
      </x:c>
      <x:c r="AT44" s="40" t="str">
        <x:v>M</x:v>
      </x:c>
      <x:c r="AU44" s="40" t="str">
        <x:v>M</x:v>
      </x:c>
      <x:c r="AV44" s="40" t="str">
        <x:v>M</x:v>
      </x:c>
      <x:c r="AW44" s="40" t="str">
        <x:v>×</x:v>
      </x:c>
      <x:c r="AX44" s="40" t="str">
        <x:v>M</x:v>
      </x:c>
      <x:c r="AY44" s="40" t="str">
        <x:v>M</x:v>
      </x:c>
      <x:c r="AZ44" s="40" t="str">
        <x:v>M</x:v>
      </x:c>
      <x:c r="BA44" s="40" t="str">
        <x:v>M</x:v>
      </x:c>
      <x:c r="BB44" s="41" t="str">
        <x:v>M</x:v>
      </x:c>
    </x:row>
    <x:row r="45">
      <x:c r="A45" s="37" t="str">
        <x:v>kiost_esm</x:v>
      </x:c>
      <x:c r="B45" s="38" t="n">
        <x:f>COUNTIF(D45:BB45,"&lt;&gt;×")</x:f>
        <x:v>40</x:v>
      </x:c>
      <x:c r="C45" s="39" t="n">
        <x:f>B45/51</x:f>
        <x:v>0.7843137254901961</x:v>
      </x:c>
      <x:c r="D45" s="40" t="str">
        <x:v>M</x:v>
      </x:c>
      <x:c r="E45" s="40" t="str">
        <x:v>×</x:v>
      </x:c>
      <x:c r="F45" s="40" t="str">
        <x:v>D</x:v>
      </x:c>
      <x:c r="G45" s="40" t="str">
        <x:v>D</x:v>
      </x:c>
      <x:c r="H45" s="40" t="str">
        <x:v>M</x:v>
      </x:c>
      <x:c r="I45" s="40" t="str">
        <x:v>M</x:v>
      </x:c>
      <x:c r="J45" s="40" t="str">
        <x:v>×</x:v>
      </x:c>
      <x:c r="K45" s="40" t="str">
        <x:v>M</x:v>
      </x:c>
      <x:c r="L45" s="40" t="str">
        <x:v>×</x:v>
      </x:c>
      <x:c r="M45" s="40" t="str">
        <x:v>F</x:v>
      </x:c>
      <x:c r="N45" s="40" t="str">
        <x:v>×</x:v>
      </x:c>
      <x:c r="O45" s="40" t="str">
        <x:v>×</x:v>
      </x:c>
      <x:c r="P45" s="40" t="str">
        <x:v>M+D</x:v>
      </x:c>
      <x:c r="Q45" s="40" t="str">
        <x:v>×</x:v>
      </x:c>
      <x:c r="R45" s="40" t="str">
        <x:v>M+D</x:v>
      </x:c>
      <x:c r="S45" s="40" t="str">
        <x:v>M+D</x:v>
      </x:c>
      <x:c r="T45" s="40" t="str">
        <x:v>M</x:v>
      </x:c>
      <x:c r="U45" s="40" t="str">
        <x:v>M</x:v>
      </x:c>
      <x:c r="V45" s="40" t="str">
        <x:v>×</x:v>
      </x:c>
      <x:c r="W45" s="40" t="str">
        <x:v>D</x:v>
      </x:c>
      <x:c r="X45" s="40" t="str">
        <x:v>M</x:v>
      </x:c>
      <x:c r="Y45" s="40" t="str">
        <x:v>×</x:v>
      </x:c>
      <x:c r="Z45" s="40" t="str">
        <x:v>F</x:v>
      </x:c>
      <x:c r="AA45" s="40" t="str">
        <x:v>M</x:v>
      </x:c>
      <x:c r="AB45" s="40" t="str">
        <x:v>M</x:v>
      </x:c>
      <x:c r="AC45" s="40" t="str">
        <x:v>M</x:v>
      </x:c>
      <x:c r="AD45" s="40" t="str">
        <x:v>M+D</x:v>
      </x:c>
      <x:c r="AE45" s="40" t="str">
        <x:v>M</x:v>
      </x:c>
      <x:c r="AF45" s="40" t="str">
        <x:v>M</x:v>
      </x:c>
      <x:c r="AG45" s="40" t="str">
        <x:v>M</x:v>
      </x:c>
      <x:c r="AH45" s="40" t="str">
        <x:v>M</x:v>
      </x:c>
      <x:c r="AI45" s="40" t="str">
        <x:v>×</x:v>
      </x:c>
      <x:c r="AJ45" s="40" t="str">
        <x:v>M</x:v>
      </x:c>
      <x:c r="AK45" s="40" t="str">
        <x:v>M</x:v>
      </x:c>
      <x:c r="AL45" s="40" t="str">
        <x:v>×</x:v>
      </x:c>
      <x:c r="AM45" s="40" t="str">
        <x:v>M</x:v>
      </x:c>
      <x:c r="AN45" s="40" t="str">
        <x:v>M</x:v>
      </x:c>
      <x:c r="AO45" s="40" t="str">
        <x:v>M</x:v>
      </x:c>
      <x:c r="AP45" s="40" t="str">
        <x:v>M</x:v>
      </x:c>
      <x:c r="AQ45" s="40" t="str">
        <x:v>M</x:v>
      </x:c>
      <x:c r="AR45" s="40" t="str">
        <x:v>M</x:v>
      </x:c>
      <x:c r="AS45" s="40" t="str">
        <x:v>M</x:v>
      </x:c>
      <x:c r="AT45" s="40" t="str">
        <x:v>×</x:v>
      </x:c>
      <x:c r="AU45" s="40" t="str">
        <x:v>M</x:v>
      </x:c>
      <x:c r="AV45" s="40" t="str">
        <x:v>M</x:v>
      </x:c>
      <x:c r="AW45" s="40" t="str">
        <x:v>M</x:v>
      </x:c>
      <x:c r="AX45" s="40" t="str">
        <x:v>M</x:v>
      </x:c>
      <x:c r="AY45" s="40" t="str">
        <x:v>M</x:v>
      </x:c>
      <x:c r="AZ45" s="40" t="str">
        <x:v>M</x:v>
      </x:c>
      <x:c r="BA45" s="40" t="str">
        <x:v>M</x:v>
      </x:c>
      <x:c r="BB45" s="41" t="str">
        <x:v>M</x:v>
      </x:c>
    </x:row>
    <x:row r="46">
      <x:c r="A46" s="37" t="str">
        <x:v>mcm_ua_1_0</x:v>
      </x:c>
      <x:c r="B46" s="38" t="n">
        <x:f>COUNTIF(D46:BB46,"&lt;&gt;×")</x:f>
        <x:v>28</x:v>
      </x:c>
      <x:c r="C46" s="39" t="n">
        <x:f>B46/51</x:f>
        <x:v>0.5490196078431373</x:v>
      </x:c>
      <x:c r="D46" s="40" t="str">
        <x:v>M</x:v>
      </x:c>
      <x:c r="E46" s="40" t="str">
        <x:v>×</x:v>
      </x:c>
      <x:c r="F46" s="40" t="str">
        <x:v>×</x:v>
      </x:c>
      <x:c r="G46" s="40" t="str">
        <x:v>×</x:v>
      </x:c>
      <x:c r="H46" s="40" t="str">
        <x:v>M</x:v>
      </x:c>
      <x:c r="I46" s="40" t="str">
        <x:v>M</x:v>
      </x:c>
      <x:c r="J46" s="40" t="str">
        <x:v>M</x:v>
      </x:c>
      <x:c r="K46" s="40" t="str">
        <x:v>M</x:v>
      </x:c>
      <x:c r="L46" s="40" t="str">
        <x:v>F</x:v>
      </x:c>
      <x:c r="M46" s="40" t="str">
        <x:v>F</x:v>
      </x:c>
      <x:c r="N46" s="40" t="str">
        <x:v>×</x:v>
      </x:c>
      <x:c r="O46" s="40" t="str">
        <x:v>×</x:v>
      </x:c>
      <x:c r="P46" s="40" t="str">
        <x:v>M</x:v>
      </x:c>
      <x:c r="Q46" s="40" t="str">
        <x:v>×</x:v>
      </x:c>
      <x:c r="R46" s="40" t="str">
        <x:v>M</x:v>
      </x:c>
      <x:c r="S46" s="40" t="str">
        <x:v>×</x:v>
      </x:c>
      <x:c r="T46" s="40" t="str">
        <x:v>M</x:v>
      </x:c>
      <x:c r="U46" s="40" t="str">
        <x:v>M</x:v>
      </x:c>
      <x:c r="V46" s="40" t="str">
        <x:v>×</x:v>
      </x:c>
      <x:c r="W46" s="40" t="str">
        <x:v>M</x:v>
      </x:c>
      <x:c r="X46" s="40" t="str">
        <x:v>×</x:v>
      </x:c>
      <x:c r="Y46" s="40" t="str">
        <x:v>×</x:v>
      </x:c>
      <x:c r="Z46" s="40" t="str">
        <x:v>F</x:v>
      </x:c>
      <x:c r="AA46" s="40" t="str">
        <x:v>×</x:v>
      </x:c>
      <x:c r="AB46" s="40" t="str">
        <x:v>×</x:v>
      </x:c>
      <x:c r="AC46" s="40" t="str">
        <x:v>M</x:v>
      </x:c>
      <x:c r="AD46" s="40" t="str">
        <x:v>M</x:v>
      </x:c>
      <x:c r="AE46" s="40" t="str">
        <x:v>×</x:v>
      </x:c>
      <x:c r="AF46" s="40" t="str">
        <x:v>M</x:v>
      </x:c>
      <x:c r="AG46" s="40" t="str">
        <x:v>M</x:v>
      </x:c>
      <x:c r="AH46" s="40" t="str">
        <x:v>×</x:v>
      </x:c>
      <x:c r="AI46" s="40" t="str">
        <x:v>M</x:v>
      </x:c>
      <x:c r="AJ46" s="40" t="str">
        <x:v>M</x:v>
      </x:c>
      <x:c r="AK46" s="40" t="str">
        <x:v>M</x:v>
      </x:c>
      <x:c r="AL46" s="40" t="str">
        <x:v>F</x:v>
      </x:c>
      <x:c r="AM46" s="40" t="str">
        <x:v>M</x:v>
      </x:c>
      <x:c r="AN46" s="40" t="str">
        <x:v>M</x:v>
      </x:c>
      <x:c r="AO46" s="40" t="str">
        <x:v>×</x:v>
      </x:c>
      <x:c r="AP46" s="40" t="str">
        <x:v>×</x:v>
      </x:c>
      <x:c r="AQ46" s="40" t="str">
        <x:v>×</x:v>
      </x:c>
      <x:c r="AR46" s="40" t="str">
        <x:v>M</x:v>
      </x:c>
      <x:c r="AS46" s="40" t="str">
        <x:v>×</x:v>
      </x:c>
      <x:c r="AT46" s="40" t="str">
        <x:v>M</x:v>
      </x:c>
      <x:c r="AU46" s="40" t="str">
        <x:v>M</x:v>
      </x:c>
      <x:c r="AV46" s="40" t="str">
        <x:v>×</x:v>
      </x:c>
      <x:c r="AW46" s="40" t="str">
        <x:v>×</x:v>
      </x:c>
      <x:c r="AX46" s="40" t="str">
        <x:v>×</x:v>
      </x:c>
      <x:c r="AY46" s="40" t="str">
        <x:v>M</x:v>
      </x:c>
      <x:c r="AZ46" s="40" t="str">
        <x:v>×</x:v>
      </x:c>
      <x:c r="BA46" s="40" t="str">
        <x:v>×</x:v>
      </x:c>
      <x:c r="BB46" s="41" t="str">
        <x:v>M</x:v>
      </x:c>
    </x:row>
    <x:row r="47">
      <x:c r="A47" s="37" t="str">
        <x:v>miroc6</x:v>
      </x:c>
      <x:c r="B47" s="38" t="n">
        <x:f>COUNTIF(D47:BB47,"&lt;&gt;×")</x:f>
        <x:v>47</x:v>
      </x:c>
      <x:c r="C47" s="39" t="n">
        <x:f>B47/51</x:f>
        <x:v>0.9215686274509803</x:v>
      </x:c>
      <x:c r="D47" s="40" t="str">
        <x:v>M</x:v>
      </x:c>
      <x:c r="E47" s="40" t="str">
        <x:v>×</x:v>
      </x:c>
      <x:c r="F47" s="40" t="str">
        <x:v>M+D</x:v>
      </x:c>
      <x:c r="G47" s="40" t="str">
        <x:v>M+D</x:v>
      </x:c>
      <x:c r="H47" s="40" t="str">
        <x:v>M</x:v>
      </x:c>
      <x:c r="I47" s="40" t="str">
        <x:v>M</x:v>
      </x:c>
      <x:c r="J47" s="40" t="str">
        <x:v>M</x:v>
      </x:c>
      <x:c r="K47" s="40" t="str">
        <x:v>M</x:v>
      </x:c>
      <x:c r="L47" s="40" t="str">
        <x:v>F</x:v>
      </x:c>
      <x:c r="M47" s="40" t="str">
        <x:v>F</x:v>
      </x:c>
      <x:c r="N47" s="40" t="str">
        <x:v>×</x:v>
      </x:c>
      <x:c r="O47" s="40" t="str">
        <x:v>M</x:v>
      </x:c>
      <x:c r="P47" s="40" t="str">
        <x:v>M+D</x:v>
      </x:c>
      <x:c r="Q47" s="40" t="str">
        <x:v>×</x:v>
      </x:c>
      <x:c r="R47" s="40" t="str">
        <x:v>M+D</x:v>
      </x:c>
      <x:c r="S47" s="40" t="str">
        <x:v>M+D</x:v>
      </x:c>
      <x:c r="T47" s="40" t="str">
        <x:v>M</x:v>
      </x:c>
      <x:c r="U47" s="40" t="str">
        <x:v>M</x:v>
      </x:c>
      <x:c r="V47" s="40" t="str">
        <x:v>F</x:v>
      </x:c>
      <x:c r="W47" s="40" t="str">
        <x:v>M+D</x:v>
      </x:c>
      <x:c r="X47" s="40" t="str">
        <x:v>×</x:v>
      </x:c>
      <x:c r="Y47" s="40" t="str">
        <x:v>F</x:v>
      </x:c>
      <x:c r="Z47" s="40" t="str">
        <x:v>F</x:v>
      </x:c>
      <x:c r="AA47" s="40" t="str">
        <x:v>M</x:v>
      </x:c>
      <x:c r="AB47" s="40" t="str">
        <x:v>M</x:v>
      </x:c>
      <x:c r="AC47" s="40" t="str">
        <x:v>M</x:v>
      </x:c>
      <x:c r="AD47" s="40" t="str">
        <x:v>M+D</x:v>
      </x:c>
      <x:c r="AE47" s="40" t="str">
        <x:v>M</x:v>
      </x:c>
      <x:c r="AF47" s="40" t="str">
        <x:v>M</x:v>
      </x:c>
      <x:c r="AG47" s="40" t="str">
        <x:v>M</x:v>
      </x:c>
      <x:c r="AH47" s="40" t="str">
        <x:v>M</x:v>
      </x:c>
      <x:c r="AI47" s="40" t="str">
        <x:v>M</x:v>
      </x:c>
      <x:c r="AJ47" s="40" t="str">
        <x:v>M</x:v>
      </x:c>
      <x:c r="AK47" s="40" t="str">
        <x:v>M</x:v>
      </x:c>
      <x:c r="AL47" s="40" t="str">
        <x:v>F</x:v>
      </x:c>
      <x:c r="AM47" s="40" t="str">
        <x:v>M</x:v>
      </x:c>
      <x:c r="AN47" s="40" t="str">
        <x:v>M</x:v>
      </x:c>
      <x:c r="AO47" s="40" t="str">
        <x:v>M</x:v>
      </x:c>
      <x:c r="AP47" s="40" t="str">
        <x:v>M</x:v>
      </x:c>
      <x:c r="AQ47" s="40" t="str">
        <x:v>M</x:v>
      </x:c>
      <x:c r="AR47" s="40" t="str">
        <x:v>M</x:v>
      </x:c>
      <x:c r="AS47" s="40" t="str">
        <x:v>M</x:v>
      </x:c>
      <x:c r="AT47" s="40" t="str">
        <x:v>M</x:v>
      </x:c>
      <x:c r="AU47" s="40" t="str">
        <x:v>M</x:v>
      </x:c>
      <x:c r="AV47" s="40" t="str">
        <x:v>M</x:v>
      </x:c>
      <x:c r="AW47" s="40" t="str">
        <x:v>M</x:v>
      </x:c>
      <x:c r="AX47" s="40" t="str">
        <x:v>M</x:v>
      </x:c>
      <x:c r="AY47" s="40" t="str">
        <x:v>M</x:v>
      </x:c>
      <x:c r="AZ47" s="40" t="str">
        <x:v>M</x:v>
      </x:c>
      <x:c r="BA47" s="40" t="str">
        <x:v>M</x:v>
      </x:c>
      <x:c r="BB47" s="41" t="str">
        <x:v>M</x:v>
      </x:c>
    </x:row>
    <x:row r="48">
      <x:c r="A48" s="37" t="str">
        <x:v>miroc_es2h</x:v>
      </x:c>
      <x:c r="B48" s="38" t="n">
        <x:f>COUNTIF(D48:BB48,"&lt;&gt;×")</x:f>
        <x:v>32</x:v>
      </x:c>
      <x:c r="C48" s="39" t="n">
        <x:f>B48/51</x:f>
        <x:v>0.6274509803921569</x:v>
      </x:c>
      <x:c r="D48" s="40" t="str">
        <x:v>M</x:v>
      </x:c>
      <x:c r="E48" s="40" t="str">
        <x:v>×</x:v>
      </x:c>
      <x:c r="F48" s="40" t="str">
        <x:v>M</x:v>
      </x:c>
      <x:c r="G48" s="40" t="str">
        <x:v>M</x:v>
      </x:c>
      <x:c r="H48" s="40" t="str">
        <x:v>M</x:v>
      </x:c>
      <x:c r="I48" s="40" t="str">
        <x:v>M</x:v>
      </x:c>
      <x:c r="J48" s="40" t="str">
        <x:v>M</x:v>
      </x:c>
      <x:c r="K48" s="40" t="str">
        <x:v>M</x:v>
      </x:c>
      <x:c r="L48" s="40" t="str">
        <x:v>×</x:v>
      </x:c>
      <x:c r="M48" s="40" t="str">
        <x:v>×</x:v>
      </x:c>
      <x:c r="N48" s="40" t="str">
        <x:v>×</x:v>
      </x:c>
      <x:c r="O48" s="40" t="str">
        <x:v>×</x:v>
      </x:c>
      <x:c r="P48" s="40" t="str">
        <x:v>M</x:v>
      </x:c>
      <x:c r="Q48" s="40" t="str">
        <x:v>M</x:v>
      </x:c>
      <x:c r="R48" s="40" t="str">
        <x:v>M</x:v>
      </x:c>
      <x:c r="S48" s="40" t="str">
        <x:v>M</x:v>
      </x:c>
      <x:c r="T48" s="40" t="str">
        <x:v>M</x:v>
      </x:c>
      <x:c r="U48" s="40" t="str">
        <x:v>M</x:v>
      </x:c>
      <x:c r="V48" s="40" t="str">
        <x:v>×</x:v>
      </x:c>
      <x:c r="W48" s="40" t="str">
        <x:v>M</x:v>
      </x:c>
      <x:c r="X48" s="40" t="str">
        <x:v>M</x:v>
      </x:c>
      <x:c r="Y48" s="40" t="str">
        <x:v>×</x:v>
      </x:c>
      <x:c r="Z48" s="40" t="str">
        <x:v>×</x:v>
      </x:c>
      <x:c r="AA48" s="40" t="str">
        <x:v>×</x:v>
      </x:c>
      <x:c r="AB48" s="40" t="str">
        <x:v>×</x:v>
      </x:c>
      <x:c r="AC48" s="40" t="str">
        <x:v>×</x:v>
      </x:c>
      <x:c r="AD48" s="40" t="str">
        <x:v>M</x:v>
      </x:c>
      <x:c r="AE48" s="40" t="str">
        <x:v>×</x:v>
      </x:c>
      <x:c r="AF48" s="40" t="str">
        <x:v>×</x:v>
      </x:c>
      <x:c r="AG48" s="40" t="str">
        <x:v>×</x:v>
      </x:c>
      <x:c r="AH48" s="40" t="str">
        <x:v>×</x:v>
      </x:c>
      <x:c r="AI48" s="40" t="str">
        <x:v>M</x:v>
      </x:c>
      <x:c r="AJ48" s="40" t="str">
        <x:v>M</x:v>
      </x:c>
      <x:c r="AK48" s="40" t="str">
        <x:v>M</x:v>
      </x:c>
      <x:c r="AL48" s="40" t="str">
        <x:v>×</x:v>
      </x:c>
      <x:c r="AM48" s="40" t="str">
        <x:v>M</x:v>
      </x:c>
      <x:c r="AN48" s="40" t="str">
        <x:v>M</x:v>
      </x:c>
      <x:c r="AO48" s="40" t="str">
        <x:v>M</x:v>
      </x:c>
      <x:c r="AP48" s="40" t="str">
        <x:v>M</x:v>
      </x:c>
      <x:c r="AQ48" s="40" t="str">
        <x:v>×</x:v>
      </x:c>
      <x:c r="AR48" s="40" t="str">
        <x:v>M</x:v>
      </x:c>
      <x:c r="AS48" s="40" t="str">
        <x:v>×</x:v>
      </x:c>
      <x:c r="AT48" s="40" t="str">
        <x:v>M</x:v>
      </x:c>
      <x:c r="AU48" s="40" t="str">
        <x:v>M</x:v>
      </x:c>
      <x:c r="AV48" s="40" t="str">
        <x:v>M</x:v>
      </x:c>
      <x:c r="AW48" s="40" t="str">
        <x:v>M</x:v>
      </x:c>
      <x:c r="AX48" s="40" t="str">
        <x:v>M</x:v>
      </x:c>
      <x:c r="AY48" s="40" t="str">
        <x:v>M</x:v>
      </x:c>
      <x:c r="AZ48" s="40" t="str">
        <x:v>M</x:v>
      </x:c>
      <x:c r="BA48" s="40" t="str">
        <x:v>M</x:v>
      </x:c>
      <x:c r="BB48" s="41" t="str">
        <x:v>×</x:v>
      </x:c>
    </x:row>
    <x:row r="49">
      <x:c r="A49" s="37" t="str">
        <x:v>miroc_es2l</x:v>
      </x:c>
      <x:c r="B49" s="38" t="n">
        <x:f>COUNTIF(D49:BB49,"&lt;&gt;×")</x:f>
        <x:v>46</x:v>
      </x:c>
      <x:c r="C49" s="39" t="n">
        <x:f>B49/51</x:f>
        <x:v>0.9019607843137255</x:v>
      </x:c>
      <x:c r="D49" s="40" t="str">
        <x:v>M</x:v>
      </x:c>
      <x:c r="E49" s="40" t="str">
        <x:v>×</x:v>
      </x:c>
      <x:c r="F49" s="40" t="str">
        <x:v>M+D</x:v>
      </x:c>
      <x:c r="G49" s="40" t="str">
        <x:v>M+D</x:v>
      </x:c>
      <x:c r="H49" s="40" t="str">
        <x:v>M</x:v>
      </x:c>
      <x:c r="I49" s="40" t="str">
        <x:v>M</x:v>
      </x:c>
      <x:c r="J49" s="40" t="str">
        <x:v>M</x:v>
      </x:c>
      <x:c r="K49" s="40" t="str">
        <x:v>M</x:v>
      </x:c>
      <x:c r="L49" s="40" t="str">
        <x:v>F</x:v>
      </x:c>
      <x:c r="M49" s="40" t="str">
        <x:v>F</x:v>
      </x:c>
      <x:c r="N49" s="40" t="str">
        <x:v>F</x:v>
      </x:c>
      <x:c r="O49" s="40" t="str">
        <x:v>M</x:v>
      </x:c>
      <x:c r="P49" s="40" t="str">
        <x:v>M+D</x:v>
      </x:c>
      <x:c r="Q49" s="40" t="str">
        <x:v>×</x:v>
      </x:c>
      <x:c r="R49" s="40" t="str">
        <x:v>M+D</x:v>
      </x:c>
      <x:c r="S49" s="40" t="str">
        <x:v>M+D</x:v>
      </x:c>
      <x:c r="T49" s="40" t="str">
        <x:v>M</x:v>
      </x:c>
      <x:c r="U49" s="40" t="str">
        <x:v>M</x:v>
      </x:c>
      <x:c r="V49" s="40" t="str">
        <x:v>F</x:v>
      </x:c>
      <x:c r="W49" s="40" t="str">
        <x:v>M+D</x:v>
      </x:c>
      <x:c r="X49" s="40" t="str">
        <x:v>M</x:v>
      </x:c>
      <x:c r="Y49" s="40" t="str">
        <x:v>F</x:v>
      </x:c>
      <x:c r="Z49" s="40" t="str">
        <x:v>F</x:v>
      </x:c>
      <x:c r="AA49" s="40" t="str">
        <x:v>M</x:v>
      </x:c>
      <x:c r="AB49" s="40" t="str">
        <x:v>×</x:v>
      </x:c>
      <x:c r="AC49" s="40" t="str">
        <x:v>M</x:v>
      </x:c>
      <x:c r="AD49" s="40" t="str">
        <x:v>M+D</x:v>
      </x:c>
      <x:c r="AE49" s="40" t="str">
        <x:v>×</x:v>
      </x:c>
      <x:c r="AF49" s="40" t="str">
        <x:v>M</x:v>
      </x:c>
      <x:c r="AG49" s="40" t="str">
        <x:v>M</x:v>
      </x:c>
      <x:c r="AH49" s="40" t="str">
        <x:v>M</x:v>
      </x:c>
      <x:c r="AI49" s="40" t="str">
        <x:v>M</x:v>
      </x:c>
      <x:c r="AJ49" s="40" t="str">
        <x:v>M</x:v>
      </x:c>
      <x:c r="AK49" s="40" t="str">
        <x:v>M</x:v>
      </x:c>
      <x:c r="AL49" s="40" t="str">
        <x:v>F</x:v>
      </x:c>
      <x:c r="AM49" s="40" t="str">
        <x:v>M</x:v>
      </x:c>
      <x:c r="AN49" s="40" t="str">
        <x:v>M</x:v>
      </x:c>
      <x:c r="AO49" s="40" t="str">
        <x:v>M</x:v>
      </x:c>
      <x:c r="AP49" s="40" t="str">
        <x:v>M</x:v>
      </x:c>
      <x:c r="AQ49" s="40" t="str">
        <x:v>M</x:v>
      </x:c>
      <x:c r="AR49" s="40" t="str">
        <x:v>M</x:v>
      </x:c>
      <x:c r="AS49" s="40" t="str">
        <x:v>×</x:v>
      </x:c>
      <x:c r="AT49" s="40" t="str">
        <x:v>M</x:v>
      </x:c>
      <x:c r="AU49" s="40" t="str">
        <x:v>M</x:v>
      </x:c>
      <x:c r="AV49" s="40" t="str">
        <x:v>M</x:v>
      </x:c>
      <x:c r="AW49" s="40" t="str">
        <x:v>M</x:v>
      </x:c>
      <x:c r="AX49" s="40" t="str">
        <x:v>M</x:v>
      </x:c>
      <x:c r="AY49" s="40" t="str">
        <x:v>M</x:v>
      </x:c>
      <x:c r="AZ49" s="40" t="str">
        <x:v>M</x:v>
      </x:c>
      <x:c r="BA49" s="40" t="str">
        <x:v>M</x:v>
      </x:c>
      <x:c r="BB49" s="41" t="str">
        <x:v>M</x:v>
      </x:c>
    </x:row>
    <x:row r="50">
      <x:c r="A50" s="37" t="str">
        <x:v>mpi_esm1_2_hr</x:v>
      </x:c>
      <x:c r="B50" s="38" t="n">
        <x:f>COUNTIF(D50:BB50,"&lt;&gt;×")</x:f>
        <x:v>48</x:v>
      </x:c>
      <x:c r="C50" s="39" t="n">
        <x:f>B50/51</x:f>
        <x:v>0.9411764705882353</x:v>
      </x:c>
      <x:c r="D50" s="40" t="str">
        <x:v>M</x:v>
      </x:c>
      <x:c r="E50" s="40" t="str">
        <x:v>F</x:v>
      </x:c>
      <x:c r="F50" s="40" t="str">
        <x:v>M+D</x:v>
      </x:c>
      <x:c r="G50" s="40" t="str">
        <x:v>M+D</x:v>
      </x:c>
      <x:c r="H50" s="40" t="str">
        <x:v>M</x:v>
      </x:c>
      <x:c r="I50" s="40" t="str">
        <x:v>M</x:v>
      </x:c>
      <x:c r="J50" s="40" t="str">
        <x:v>M</x:v>
      </x:c>
      <x:c r="K50" s="40" t="str">
        <x:v>M</x:v>
      </x:c>
      <x:c r="L50" s="40" t="str">
        <x:v>F</x:v>
      </x:c>
      <x:c r="M50" s="40" t="str">
        <x:v>F</x:v>
      </x:c>
      <x:c r="N50" s="40" t="str">
        <x:v>F</x:v>
      </x:c>
      <x:c r="O50" s="40" t="str">
        <x:v>M</x:v>
      </x:c>
      <x:c r="P50" s="40" t="str">
        <x:v>M+D</x:v>
      </x:c>
      <x:c r="Q50" s="40" t="str">
        <x:v>×</x:v>
      </x:c>
      <x:c r="R50" s="40" t="str">
        <x:v>M+D</x:v>
      </x:c>
      <x:c r="S50" s="40" t="str">
        <x:v>M+D</x:v>
      </x:c>
      <x:c r="T50" s="40" t="str">
        <x:v>M</x:v>
      </x:c>
      <x:c r="U50" s="40" t="str">
        <x:v>M</x:v>
      </x:c>
      <x:c r="V50" s="40" t="str">
        <x:v>F</x:v>
      </x:c>
      <x:c r="W50" s="40" t="str">
        <x:v>M+D</x:v>
      </x:c>
      <x:c r="X50" s="40" t="str">
        <x:v>M</x:v>
      </x:c>
      <x:c r="Y50" s="40" t="str">
        <x:v>F</x:v>
      </x:c>
      <x:c r="Z50" s="40" t="str">
        <x:v>F</x:v>
      </x:c>
      <x:c r="AA50" s="40" t="str">
        <x:v>M</x:v>
      </x:c>
      <x:c r="AB50" s="40" t="str">
        <x:v>M</x:v>
      </x:c>
      <x:c r="AC50" s="40" t="str">
        <x:v>M</x:v>
      </x:c>
      <x:c r="AD50" s="40" t="str">
        <x:v>M+D</x:v>
      </x:c>
      <x:c r="AE50" s="40" t="str">
        <x:v>M</x:v>
      </x:c>
      <x:c r="AF50" s="40" t="str">
        <x:v>×</x:v>
      </x:c>
      <x:c r="AG50" s="40" t="str">
        <x:v>M</x:v>
      </x:c>
      <x:c r="AH50" s="40" t="str">
        <x:v>×</x:v>
      </x:c>
      <x:c r="AI50" s="40" t="str">
        <x:v>M</x:v>
      </x:c>
      <x:c r="AJ50" s="40" t="str">
        <x:v>M</x:v>
      </x:c>
      <x:c r="AK50" s="40" t="str">
        <x:v>M</x:v>
      </x:c>
      <x:c r="AL50" s="40" t="str">
        <x:v>F</x:v>
      </x:c>
      <x:c r="AM50" s="40" t="str">
        <x:v>M</x:v>
      </x:c>
      <x:c r="AN50" s="40" t="str">
        <x:v>M</x:v>
      </x:c>
      <x:c r="AO50" s="40" t="str">
        <x:v>M</x:v>
      </x:c>
      <x:c r="AP50" s="40" t="str">
        <x:v>M</x:v>
      </x:c>
      <x:c r="AQ50" s="40" t="str">
        <x:v>M</x:v>
      </x:c>
      <x:c r="AR50" s="40" t="str">
        <x:v>M</x:v>
      </x:c>
      <x:c r="AS50" s="40" t="str">
        <x:v>M</x:v>
      </x:c>
      <x:c r="AT50" s="40" t="str">
        <x:v>M</x:v>
      </x:c>
      <x:c r="AU50" s="40" t="str">
        <x:v>M</x:v>
      </x:c>
      <x:c r="AV50" s="40" t="str">
        <x:v>M</x:v>
      </x:c>
      <x:c r="AW50" s="40" t="str">
        <x:v>M</x:v>
      </x:c>
      <x:c r="AX50" s="40" t="str">
        <x:v>M</x:v>
      </x:c>
      <x:c r="AY50" s="40" t="str">
        <x:v>M</x:v>
      </x:c>
      <x:c r="AZ50" s="40" t="str">
        <x:v>M</x:v>
      </x:c>
      <x:c r="BA50" s="40" t="str">
        <x:v>M</x:v>
      </x:c>
      <x:c r="BB50" s="41" t="str">
        <x:v>M</x:v>
      </x:c>
    </x:row>
    <x:row r="51">
      <x:c r="A51" s="37" t="str">
        <x:v>mpi_esm1_2_lr</x:v>
      </x:c>
      <x:c r="B51" s="38" t="n">
        <x:f>COUNTIF(D51:BB51,"&lt;&gt;×")</x:f>
        <x:v>49</x:v>
      </x:c>
      <x:c r="C51" s="39" t="n">
        <x:f>B51/51</x:f>
        <x:v>0.9607843137254902</x:v>
      </x:c>
      <x:c r="D51" s="40" t="str">
        <x:v>M</x:v>
      </x:c>
      <x:c r="E51" s="40" t="str">
        <x:v>F</x:v>
      </x:c>
      <x:c r="F51" s="40" t="str">
        <x:v>M+D</x:v>
      </x:c>
      <x:c r="G51" s="40" t="str">
        <x:v>M+D</x:v>
      </x:c>
      <x:c r="H51" s="40" t="str">
        <x:v>M</x:v>
      </x:c>
      <x:c r="I51" s="40" t="str">
        <x:v>M</x:v>
      </x:c>
      <x:c r="J51" s="40" t="str">
        <x:v>M</x:v>
      </x:c>
      <x:c r="K51" s="40" t="str">
        <x:v>M</x:v>
      </x:c>
      <x:c r="L51" s="40" t="str">
        <x:v>F</x:v>
      </x:c>
      <x:c r="M51" s="40" t="str">
        <x:v>F</x:v>
      </x:c>
      <x:c r="N51" s="40" t="str">
        <x:v>F</x:v>
      </x:c>
      <x:c r="O51" s="40" t="str">
        <x:v>M</x:v>
      </x:c>
      <x:c r="P51" s="40" t="str">
        <x:v>M+D</x:v>
      </x:c>
      <x:c r="Q51" s="40" t="str">
        <x:v>×</x:v>
      </x:c>
      <x:c r="R51" s="40" t="str">
        <x:v>M+D</x:v>
      </x:c>
      <x:c r="S51" s="40" t="str">
        <x:v>M+D</x:v>
      </x:c>
      <x:c r="T51" s="40" t="str">
        <x:v>M</x:v>
      </x:c>
      <x:c r="U51" s="40" t="str">
        <x:v>M</x:v>
      </x:c>
      <x:c r="V51" s="40" t="str">
        <x:v>F</x:v>
      </x:c>
      <x:c r="W51" s="40" t="str">
        <x:v>M+D</x:v>
      </x:c>
      <x:c r="X51" s="40" t="str">
        <x:v>M</x:v>
      </x:c>
      <x:c r="Y51" s="40" t="str">
        <x:v>F</x:v>
      </x:c>
      <x:c r="Z51" s="40" t="str">
        <x:v>F</x:v>
      </x:c>
      <x:c r="AA51" s="40" t="str">
        <x:v>M</x:v>
      </x:c>
      <x:c r="AB51" s="40" t="str">
        <x:v>M</x:v>
      </x:c>
      <x:c r="AC51" s="40" t="str">
        <x:v>M</x:v>
      </x:c>
      <x:c r="AD51" s="40" t="str">
        <x:v>M+D</x:v>
      </x:c>
      <x:c r="AE51" s="40" t="str">
        <x:v>M</x:v>
      </x:c>
      <x:c r="AF51" s="40" t="str">
        <x:v>M</x:v>
      </x:c>
      <x:c r="AG51" s="40" t="str">
        <x:v>M</x:v>
      </x:c>
      <x:c r="AH51" s="40" t="str">
        <x:v>×</x:v>
      </x:c>
      <x:c r="AI51" s="40" t="str">
        <x:v>M</x:v>
      </x:c>
      <x:c r="AJ51" s="40" t="str">
        <x:v>M</x:v>
      </x:c>
      <x:c r="AK51" s="40" t="str">
        <x:v>M</x:v>
      </x:c>
      <x:c r="AL51" s="40" t="str">
        <x:v>F</x:v>
      </x:c>
      <x:c r="AM51" s="40" t="str">
        <x:v>M</x:v>
      </x:c>
      <x:c r="AN51" s="40" t="str">
        <x:v>M</x:v>
      </x:c>
      <x:c r="AO51" s="40" t="str">
        <x:v>M</x:v>
      </x:c>
      <x:c r="AP51" s="40" t="str">
        <x:v>M</x:v>
      </x:c>
      <x:c r="AQ51" s="40" t="str">
        <x:v>M</x:v>
      </x:c>
      <x:c r="AR51" s="40" t="str">
        <x:v>M</x:v>
      </x:c>
      <x:c r="AS51" s="40" t="str">
        <x:v>M</x:v>
      </x:c>
      <x:c r="AT51" s="40" t="str">
        <x:v>M</x:v>
      </x:c>
      <x:c r="AU51" s="40" t="str">
        <x:v>M</x:v>
      </x:c>
      <x:c r="AV51" s="40" t="str">
        <x:v>M</x:v>
      </x:c>
      <x:c r="AW51" s="40" t="str">
        <x:v>M</x:v>
      </x:c>
      <x:c r="AX51" s="40" t="str">
        <x:v>M</x:v>
      </x:c>
      <x:c r="AY51" s="40" t="str">
        <x:v>M</x:v>
      </x:c>
      <x:c r="AZ51" s="40" t="str">
        <x:v>M</x:v>
      </x:c>
      <x:c r="BA51" s="40" t="str">
        <x:v>M</x:v>
      </x:c>
      <x:c r="BB51" s="41" t="str">
        <x:v>M</x:v>
      </x:c>
    </x:row>
    <x:row r="52">
      <x:c r="A52" s="37" t="str">
        <x:v>mpi_esm_1_2_ham</x:v>
      </x:c>
      <x:c r="B52" s="38" t="n">
        <x:f>COUNTIF(D52:BB52,"&lt;&gt;×")</x:f>
        <x:v>1</x:v>
      </x:c>
      <x:c r="C52" s="39" t="n">
        <x:f>B52/51</x:f>
        <x:v>0.0196078431372549</x:v>
      </x:c>
      <x:c r="D52" s="40" t="str">
        <x:v>×</x:v>
      </x:c>
      <x:c r="E52" s="40" t="str">
        <x:v>F</x:v>
      </x:c>
      <x:c r="F52" s="40" t="str">
        <x:v>×</x:v>
      </x:c>
      <x:c r="G52" s="40" t="str">
        <x:v>×</x:v>
      </x:c>
      <x:c r="H52" s="40" t="str">
        <x:v>×</x:v>
      </x:c>
      <x:c r="I52" s="40" t="str">
        <x:v>×</x:v>
      </x:c>
      <x:c r="J52" s="40" t="str">
        <x:v>×</x:v>
      </x:c>
      <x:c r="K52" s="40" t="str">
        <x:v>×</x:v>
      </x:c>
      <x:c r="L52" s="40" t="str">
        <x:v>×</x:v>
      </x:c>
      <x:c r="M52" s="40" t="str">
        <x:v>×</x:v>
      </x:c>
      <x:c r="N52" s="40" t="str">
        <x:v>×</x:v>
      </x:c>
      <x:c r="O52" s="40" t="str">
        <x:v>×</x:v>
      </x:c>
      <x:c r="P52" s="40" t="str">
        <x:v>×</x:v>
      </x:c>
      <x:c r="Q52" s="40" t="str">
        <x:v>×</x:v>
      </x:c>
      <x:c r="R52" s="40" t="str">
        <x:v>×</x:v>
      </x:c>
      <x:c r="S52" s="40" t="str">
        <x:v>×</x:v>
      </x:c>
      <x:c r="T52" s="40" t="str">
        <x:v>×</x:v>
      </x:c>
      <x:c r="U52" s="40" t="str">
        <x:v>×</x:v>
      </x:c>
      <x:c r="V52" s="40" t="str">
        <x:v>×</x:v>
      </x:c>
      <x:c r="W52" s="40" t="str">
        <x:v>×</x:v>
      </x:c>
      <x:c r="X52" s="40" t="str">
        <x:v>×</x:v>
      </x:c>
      <x:c r="Y52" s="40" t="str">
        <x:v>×</x:v>
      </x:c>
      <x:c r="Z52" s="40" t="str">
        <x:v>×</x:v>
      </x:c>
      <x:c r="AA52" s="40" t="str">
        <x:v>×</x:v>
      </x:c>
      <x:c r="AB52" s="40" t="str">
        <x:v>×</x:v>
      </x:c>
      <x:c r="AC52" s="40" t="str">
        <x:v>×</x:v>
      </x:c>
      <x:c r="AD52" s="40" t="str">
        <x:v>×</x:v>
      </x:c>
      <x:c r="AE52" s="40" t="str">
        <x:v>×</x:v>
      </x:c>
      <x:c r="AF52" s="40" t="str">
        <x:v>×</x:v>
      </x:c>
      <x:c r="AG52" s="40" t="str">
        <x:v>×</x:v>
      </x:c>
      <x:c r="AH52" s="40" t="str">
        <x:v>×</x:v>
      </x:c>
      <x:c r="AI52" s="40" t="str">
        <x:v>×</x:v>
      </x:c>
      <x:c r="AJ52" s="40" t="str">
        <x:v>×</x:v>
      </x:c>
      <x:c r="AK52" s="40" t="str">
        <x:v>×</x:v>
      </x:c>
      <x:c r="AL52" s="40" t="str">
        <x:v>×</x:v>
      </x:c>
      <x:c r="AM52" s="40" t="str">
        <x:v>×</x:v>
      </x:c>
      <x:c r="AN52" s="40" t="str">
        <x:v>×</x:v>
      </x:c>
      <x:c r="AO52" s="40" t="str">
        <x:v>×</x:v>
      </x:c>
      <x:c r="AP52" s="40" t="str">
        <x:v>×</x:v>
      </x:c>
      <x:c r="AQ52" s="40" t="str">
        <x:v>×</x:v>
      </x:c>
      <x:c r="AR52" s="40" t="str">
        <x:v>×</x:v>
      </x:c>
      <x:c r="AS52" s="40" t="str">
        <x:v>×</x:v>
      </x:c>
      <x:c r="AT52" s="40" t="str">
        <x:v>×</x:v>
      </x:c>
      <x:c r="AU52" s="40" t="str">
        <x:v>×</x:v>
      </x:c>
      <x:c r="AV52" s="40" t="str">
        <x:v>×</x:v>
      </x:c>
      <x:c r="AW52" s="40" t="str">
        <x:v>×</x:v>
      </x:c>
      <x:c r="AX52" s="40" t="str">
        <x:v>×</x:v>
      </x:c>
      <x:c r="AY52" s="40" t="str">
        <x:v>×</x:v>
      </x:c>
      <x:c r="AZ52" s="40" t="str">
        <x:v>×</x:v>
      </x:c>
      <x:c r="BA52" s="40" t="str">
        <x:v>×</x:v>
      </x:c>
      <x:c r="BB52" s="41" t="str">
        <x:v>×</x:v>
      </x:c>
    </x:row>
    <x:row r="53">
      <x:c r="A53" s="37" t="str">
        <x:v>mri_esm2_0</x:v>
      </x:c>
      <x:c r="B53" s="38" t="n">
        <x:f>COUNTIF(D53:BB53,"&lt;&gt;×")</x:f>
        <x:v>44</x:v>
      </x:c>
      <x:c r="C53" s="39" t="n">
        <x:f>B53/51</x:f>
        <x:v>0.8627450980392157</x:v>
      </x:c>
      <x:c r="D53" s="40" t="str">
        <x:v>M</x:v>
      </x:c>
      <x:c r="E53" s="40" t="str">
        <x:v>×</x:v>
      </x:c>
      <x:c r="F53" s="40" t="str">
        <x:v>M+D</x:v>
      </x:c>
      <x:c r="G53" s="40" t="str">
        <x:v>M+D</x:v>
      </x:c>
      <x:c r="H53" s="40" t="str">
        <x:v>M</x:v>
      </x:c>
      <x:c r="I53" s="40" t="str">
        <x:v>M</x:v>
      </x:c>
      <x:c r="J53" s="40" t="str">
        <x:v>M</x:v>
      </x:c>
      <x:c r="K53" s="40" t="str">
        <x:v>M</x:v>
      </x:c>
      <x:c r="L53" s="40" t="str">
        <x:v>F</x:v>
      </x:c>
      <x:c r="M53" s="40" t="str">
        <x:v>F</x:v>
      </x:c>
      <x:c r="N53" s="40" t="str">
        <x:v>F</x:v>
      </x:c>
      <x:c r="O53" s="40" t="str">
        <x:v>M</x:v>
      </x:c>
      <x:c r="P53" s="40" t="str">
        <x:v>M+D</x:v>
      </x:c>
      <x:c r="Q53" s="40" t="str">
        <x:v>×</x:v>
      </x:c>
      <x:c r="R53" s="40" t="str">
        <x:v>M+D</x:v>
      </x:c>
      <x:c r="S53" s="40" t="str">
        <x:v>M+D</x:v>
      </x:c>
      <x:c r="T53" s="40" t="str">
        <x:v>M</x:v>
      </x:c>
      <x:c r="U53" s="40" t="str">
        <x:v>M</x:v>
      </x:c>
      <x:c r="V53" s="40" t="str">
        <x:v>F</x:v>
      </x:c>
      <x:c r="W53" s="40" t="str">
        <x:v>M+D</x:v>
      </x:c>
      <x:c r="X53" s="40" t="str">
        <x:v>×</x:v>
      </x:c>
      <x:c r="Y53" s="40" t="str">
        <x:v>F</x:v>
      </x:c>
      <x:c r="Z53" s="40" t="str">
        <x:v>×</x:v>
      </x:c>
      <x:c r="AA53" s="40" t="str">
        <x:v>M</x:v>
      </x:c>
      <x:c r="AB53" s="40" t="str">
        <x:v>×</x:v>
      </x:c>
      <x:c r="AC53" s="40" t="str">
        <x:v>×</x:v>
      </x:c>
      <x:c r="AD53" s="40" t="str">
        <x:v>M+D</x:v>
      </x:c>
      <x:c r="AE53" s="40" t="str">
        <x:v>M</x:v>
      </x:c>
      <x:c r="AF53" s="40" t="str">
        <x:v>M</x:v>
      </x:c>
      <x:c r="AG53" s="40" t="str">
        <x:v>M</x:v>
      </x:c>
      <x:c r="AH53" s="40" t="str">
        <x:v>M</x:v>
      </x:c>
      <x:c r="AI53" s="40" t="str">
        <x:v>M</x:v>
      </x:c>
      <x:c r="AJ53" s="40" t="str">
        <x:v>M</x:v>
      </x:c>
      <x:c r="AK53" s="40" t="str">
        <x:v>M</x:v>
      </x:c>
      <x:c r="AL53" s="40" t="str">
        <x:v>F</x:v>
      </x:c>
      <x:c r="AM53" s="40" t="str">
        <x:v>M</x:v>
      </x:c>
      <x:c r="AN53" s="40" t="str">
        <x:v>M</x:v>
      </x:c>
      <x:c r="AO53" s="40" t="str">
        <x:v>M</x:v>
      </x:c>
      <x:c r="AP53" s="40" t="str">
        <x:v>M</x:v>
      </x:c>
      <x:c r="AQ53" s="40" t="str">
        <x:v>M</x:v>
      </x:c>
      <x:c r="AR53" s="40" t="str">
        <x:v>M</x:v>
      </x:c>
      <x:c r="AS53" s="40" t="str">
        <x:v>×</x:v>
      </x:c>
      <x:c r="AT53" s="40" t="str">
        <x:v>M</x:v>
      </x:c>
      <x:c r="AU53" s="40" t="str">
        <x:v>M</x:v>
      </x:c>
      <x:c r="AV53" s="40" t="str">
        <x:v>M</x:v>
      </x:c>
      <x:c r="AW53" s="40" t="str">
        <x:v>M</x:v>
      </x:c>
      <x:c r="AX53" s="40" t="str">
        <x:v>M</x:v>
      </x:c>
      <x:c r="AY53" s="40" t="str">
        <x:v>M</x:v>
      </x:c>
      <x:c r="AZ53" s="40" t="str">
        <x:v>M</x:v>
      </x:c>
      <x:c r="BA53" s="40" t="str">
        <x:v>M</x:v>
      </x:c>
      <x:c r="BB53" s="41" t="str">
        <x:v>M</x:v>
      </x:c>
    </x:row>
    <x:row r="54">
      <x:c r="A54" s="37" t="str">
        <x:v>nesm3</x:v>
      </x:c>
      <x:c r="B54" s="38" t="n">
        <x:f>COUNTIF(D54:BB54,"&lt;&gt;×")</x:f>
        <x:v>35</x:v>
      </x:c>
      <x:c r="C54" s="39" t="n">
        <x:f>B54/51</x:f>
        <x:v>0.6862745098039216</x:v>
      </x:c>
      <x:c r="D54" s="40" t="str">
        <x:v>M</x:v>
      </x:c>
      <x:c r="E54" s="40" t="str">
        <x:v>×</x:v>
      </x:c>
      <x:c r="F54" s="40" t="str">
        <x:v>M+D</x:v>
      </x:c>
      <x:c r="G54" s="40" t="str">
        <x:v>M+D</x:v>
      </x:c>
      <x:c r="H54" s="40" t="str">
        <x:v>M</x:v>
      </x:c>
      <x:c r="I54" s="40" t="str">
        <x:v>M</x:v>
      </x:c>
      <x:c r="J54" s="40" t="str">
        <x:v>M</x:v>
      </x:c>
      <x:c r="K54" s="40" t="str">
        <x:v>M</x:v>
      </x:c>
      <x:c r="L54" s="40" t="str">
        <x:v>×</x:v>
      </x:c>
      <x:c r="M54" s="40" t="str">
        <x:v>×</x:v>
      </x:c>
      <x:c r="N54" s="40" t="str">
        <x:v>×</x:v>
      </x:c>
      <x:c r="O54" s="40" t="str">
        <x:v>×</x:v>
      </x:c>
      <x:c r="P54" s="40" t="str">
        <x:v>M+D</x:v>
      </x:c>
      <x:c r="Q54" s="40" t="str">
        <x:v>×</x:v>
      </x:c>
      <x:c r="R54" s="40" t="str">
        <x:v>×</x:v>
      </x:c>
      <x:c r="S54" s="40" t="str">
        <x:v>×</x:v>
      </x:c>
      <x:c r="T54" s="40" t="str">
        <x:v>M</x:v>
      </x:c>
      <x:c r="U54" s="40" t="str">
        <x:v>M</x:v>
      </x:c>
      <x:c r="V54" s="40" t="str">
        <x:v>×</x:v>
      </x:c>
      <x:c r="W54" s="40" t="str">
        <x:v>M+D</x:v>
      </x:c>
      <x:c r="X54" s="40" t="str">
        <x:v>M</x:v>
      </x:c>
      <x:c r="Y54" s="40" t="str">
        <x:v>×</x:v>
      </x:c>
      <x:c r="Z54" s="40" t="str">
        <x:v>×</x:v>
      </x:c>
      <x:c r="AA54" s="40" t="str">
        <x:v>M</x:v>
      </x:c>
      <x:c r="AB54" s="40" t="str">
        <x:v>×</x:v>
      </x:c>
      <x:c r="AC54" s="40" t="str">
        <x:v>M</x:v>
      </x:c>
      <x:c r="AD54" s="40" t="str">
        <x:v>M+D</x:v>
      </x:c>
      <x:c r="AE54" s="40" t="str">
        <x:v>M</x:v>
      </x:c>
      <x:c r="AF54" s="40" t="str">
        <x:v>M</x:v>
      </x:c>
      <x:c r="AG54" s="40" t="str">
        <x:v>M</x:v>
      </x:c>
      <x:c r="AH54" s="40" t="str">
        <x:v>×</x:v>
      </x:c>
      <x:c r="AI54" s="40" t="str">
        <x:v>M</x:v>
      </x:c>
      <x:c r="AJ54" s="40" t="str">
        <x:v>M</x:v>
      </x:c>
      <x:c r="AK54" s="40" t="str">
        <x:v>M</x:v>
      </x:c>
      <x:c r="AL54" s="40" t="str">
        <x:v>×</x:v>
      </x:c>
      <x:c r="AM54" s="40" t="str">
        <x:v>M</x:v>
      </x:c>
      <x:c r="AN54" s="40" t="str">
        <x:v>M</x:v>
      </x:c>
      <x:c r="AO54" s="40" t="str">
        <x:v>M</x:v>
      </x:c>
      <x:c r="AP54" s="40" t="str">
        <x:v>M</x:v>
      </x:c>
      <x:c r="AQ54" s="40" t="str">
        <x:v>×</x:v>
      </x:c>
      <x:c r="AR54" s="40" t="str">
        <x:v>M</x:v>
      </x:c>
      <x:c r="AS54" s="40" t="str">
        <x:v>M</x:v>
      </x:c>
      <x:c r="AT54" s="40" t="str">
        <x:v>M</x:v>
      </x:c>
      <x:c r="AU54" s="40" t="str">
        <x:v>M</x:v>
      </x:c>
      <x:c r="AV54" s="40" t="str">
        <x:v>M</x:v>
      </x:c>
      <x:c r="AW54" s="40" t="str">
        <x:v>M</x:v>
      </x:c>
      <x:c r="AX54" s="40" t="str">
        <x:v>M</x:v>
      </x:c>
      <x:c r="AY54" s="40" t="str">
        <x:v>M</x:v>
      </x:c>
      <x:c r="AZ54" s="40" t="str">
        <x:v>M</x:v>
      </x:c>
      <x:c r="BA54" s="40" t="str">
        <x:v>M</x:v>
      </x:c>
      <x:c r="BB54" s="41" t="str">
        <x:v>×</x:v>
      </x:c>
    </x:row>
    <x:row r="55">
      <x:c r="A55" s="37" t="str">
        <x:v>norcpm1</x:v>
      </x:c>
      <x:c r="B55" s="38" t="n">
        <x:f>COUNTIF(D55:BB55,"&lt;&gt;×")</x:f>
        <x:v>45</x:v>
      </x:c>
      <x:c r="C55" s="39" t="n">
        <x:f>B55/51</x:f>
        <x:v>0.8823529411764706</x:v>
      </x:c>
      <x:c r="D55" s="40" t="str">
        <x:v>M</x:v>
      </x:c>
      <x:c r="E55" s="40" t="str">
        <x:v>×</x:v>
      </x:c>
      <x:c r="F55" s="40" t="str">
        <x:v>D</x:v>
      </x:c>
      <x:c r="G55" s="40" t="str">
        <x:v>D</x:v>
      </x:c>
      <x:c r="H55" s="40" t="str">
        <x:v>M</x:v>
      </x:c>
      <x:c r="I55" s="40" t="str">
        <x:v>M</x:v>
      </x:c>
      <x:c r="J55" s="40" t="str">
        <x:v>M</x:v>
      </x:c>
      <x:c r="K55" s="40" t="str">
        <x:v>M</x:v>
      </x:c>
      <x:c r="L55" s="40" t="str">
        <x:v>F</x:v>
      </x:c>
      <x:c r="M55" s="40" t="str">
        <x:v>F</x:v>
      </x:c>
      <x:c r="N55" s="40" t="str">
        <x:v>F</x:v>
      </x:c>
      <x:c r="O55" s="40" t="str">
        <x:v>M</x:v>
      </x:c>
      <x:c r="P55" s="40" t="str">
        <x:v>M+D</x:v>
      </x:c>
      <x:c r="Q55" s="40" t="str">
        <x:v>×</x:v>
      </x:c>
      <x:c r="R55" s="40" t="str">
        <x:v>M</x:v>
      </x:c>
      <x:c r="S55" s="40" t="str">
        <x:v>D</x:v>
      </x:c>
      <x:c r="T55" s="40" t="str">
        <x:v>M</x:v>
      </x:c>
      <x:c r="U55" s="40" t="str">
        <x:v>M</x:v>
      </x:c>
      <x:c r="V55" s="40" t="str">
        <x:v>F</x:v>
      </x:c>
      <x:c r="W55" s="40" t="str">
        <x:v>M+D</x:v>
      </x:c>
      <x:c r="X55" s="40" t="str">
        <x:v>×</x:v>
      </x:c>
      <x:c r="Y55" s="40" t="str">
        <x:v>F</x:v>
      </x:c>
      <x:c r="Z55" s="40" t="str">
        <x:v>F</x:v>
      </x:c>
      <x:c r="AA55" s="40" t="str">
        <x:v>M</x:v>
      </x:c>
      <x:c r="AB55" s="40" t="str">
        <x:v>M</x:v>
      </x:c>
      <x:c r="AC55" s="40" t="str">
        <x:v>M</x:v>
      </x:c>
      <x:c r="AD55" s="40" t="str">
        <x:v>M+D</x:v>
      </x:c>
      <x:c r="AE55" s="40" t="str">
        <x:v>M</x:v>
      </x:c>
      <x:c r="AF55" s="40" t="str">
        <x:v>M</x:v>
      </x:c>
      <x:c r="AG55" s="40" t="str">
        <x:v>M</x:v>
      </x:c>
      <x:c r="AH55" s="40" t="str">
        <x:v>M</x:v>
      </x:c>
      <x:c r="AI55" s="40" t="str">
        <x:v>M</x:v>
      </x:c>
      <x:c r="AJ55" s="40" t="str">
        <x:v>M</x:v>
      </x:c>
      <x:c r="AK55" s="40" t="str">
        <x:v>M</x:v>
      </x:c>
      <x:c r="AL55" s="40" t="str">
        <x:v>F</x:v>
      </x:c>
      <x:c r="AM55" s="40" t="str">
        <x:v>M</x:v>
      </x:c>
      <x:c r="AN55" s="40" t="str">
        <x:v>M</x:v>
      </x:c>
      <x:c r="AO55" s="40" t="str">
        <x:v>M</x:v>
      </x:c>
      <x:c r="AP55" s="40" t="str">
        <x:v>M</x:v>
      </x:c>
      <x:c r="AQ55" s="40" t="str">
        <x:v>×</x:v>
      </x:c>
      <x:c r="AR55" s="40" t="str">
        <x:v>M</x:v>
      </x:c>
      <x:c r="AS55" s="40" t="str">
        <x:v>×</x:v>
      </x:c>
      <x:c r="AT55" s="40" t="str">
        <x:v>M</x:v>
      </x:c>
      <x:c r="AU55" s="40" t="str">
        <x:v>M</x:v>
      </x:c>
      <x:c r="AV55" s="40" t="str">
        <x:v>M</x:v>
      </x:c>
      <x:c r="AW55" s="40" t="str">
        <x:v>M</x:v>
      </x:c>
      <x:c r="AX55" s="40" t="str">
        <x:v>M</x:v>
      </x:c>
      <x:c r="AY55" s="40" t="str">
        <x:v>M</x:v>
      </x:c>
      <x:c r="AZ55" s="40" t="str">
        <x:v>M</x:v>
      </x:c>
      <x:c r="BA55" s="40" t="str">
        <x:v>M</x:v>
      </x:c>
      <x:c r="BB55" s="41" t="str">
        <x:v>×</x:v>
      </x:c>
    </x:row>
    <x:row r="56">
      <x:c r="A56" s="37" t="str">
        <x:v>noresm2_lm</x:v>
      </x:c>
      <x:c r="B56" s="38" t="n">
        <x:f>COUNTIF(D56:BB56,"&lt;&gt;×")</x:f>
        <x:v>4</x:v>
      </x:c>
      <x:c r="C56" s="39" t="n">
        <x:f>B56/51</x:f>
        <x:v>0.0784313725490196</x:v>
      </x:c>
      <x:c r="D56" s="40" t="str">
        <x:v>×</x:v>
      </x:c>
      <x:c r="E56" s="40" t="str">
        <x:v>×</x:v>
      </x:c>
      <x:c r="F56" s="40" t="str">
        <x:v>×</x:v>
      </x:c>
      <x:c r="G56" s="40" t="str">
        <x:v>×</x:v>
      </x:c>
      <x:c r="H56" s="40" t="str">
        <x:v>×</x:v>
      </x:c>
      <x:c r="I56" s="40" t="str">
        <x:v>×</x:v>
      </x:c>
      <x:c r="J56" s="40" t="str">
        <x:v>×</x:v>
      </x:c>
      <x:c r="K56" s="40" t="str">
        <x:v>×</x:v>
      </x:c>
      <x:c r="L56" s="40" t="str">
        <x:v>×</x:v>
      </x:c>
      <x:c r="M56" s="40" t="str">
        <x:v>×</x:v>
      </x:c>
      <x:c r="N56" s="40" t="str">
        <x:v>×</x:v>
      </x:c>
      <x:c r="O56" s="40" t="str">
        <x:v>M</x:v>
      </x:c>
      <x:c r="P56" s="40" t="str">
        <x:v>×</x:v>
      </x:c>
      <x:c r="Q56" s="40" t="str">
        <x:v>×</x:v>
      </x:c>
      <x:c r="R56" s="40" t="str">
        <x:v>×</x:v>
      </x:c>
      <x:c r="S56" s="40" t="str">
        <x:v>M+D</x:v>
      </x:c>
      <x:c r="T56" s="40" t="str">
        <x:v>×</x:v>
      </x:c>
      <x:c r="U56" s="40" t="str">
        <x:v>×</x:v>
      </x:c>
      <x:c r="V56" s="40" t="str">
        <x:v>×</x:v>
      </x:c>
      <x:c r="W56" s="40" t="str">
        <x:v>×</x:v>
      </x:c>
      <x:c r="X56" s="40" t="str">
        <x:v>×</x:v>
      </x:c>
      <x:c r="Y56" s="40" t="str">
        <x:v>F</x:v>
      </x:c>
      <x:c r="Z56" s="40" t="str">
        <x:v>×</x:v>
      </x:c>
      <x:c r="AA56" s="40" t="str">
        <x:v>×</x:v>
      </x:c>
      <x:c r="AB56" s="40" t="str">
        <x:v>×</x:v>
      </x:c>
      <x:c r="AC56" s="40" t="str">
        <x:v>×</x:v>
      </x:c>
      <x:c r="AD56" s="40" t="str">
        <x:v>×</x:v>
      </x:c>
      <x:c r="AE56" s="40" t="str">
        <x:v>×</x:v>
      </x:c>
      <x:c r="AF56" s="40" t="str">
        <x:v>×</x:v>
      </x:c>
      <x:c r="AG56" s="40" t="str">
        <x:v>×</x:v>
      </x:c>
      <x:c r="AH56" s="40" t="str">
        <x:v>×</x:v>
      </x:c>
      <x:c r="AI56" s="40" t="str">
        <x:v>×</x:v>
      </x:c>
      <x:c r="AJ56" s="40" t="str">
        <x:v>×</x:v>
      </x:c>
      <x:c r="AK56" s="40" t="str">
        <x:v>×</x:v>
      </x:c>
      <x:c r="AL56" s="40" t="str">
        <x:v>×</x:v>
      </x:c>
      <x:c r="AM56" s="40" t="str">
        <x:v>×</x:v>
      </x:c>
      <x:c r="AN56" s="40" t="str">
        <x:v>×</x:v>
      </x:c>
      <x:c r="AO56" s="40" t="str">
        <x:v>×</x:v>
      </x:c>
      <x:c r="AP56" s="40" t="str">
        <x:v>×</x:v>
      </x:c>
      <x:c r="AQ56" s="40" t="str">
        <x:v>×</x:v>
      </x:c>
      <x:c r="AR56" s="40" t="str">
        <x:v>×</x:v>
      </x:c>
      <x:c r="AS56" s="40" t="str">
        <x:v>×</x:v>
      </x:c>
      <x:c r="AT56" s="40" t="str">
        <x:v>×</x:v>
      </x:c>
      <x:c r="AU56" s="40" t="str">
        <x:v>×</x:v>
      </x:c>
      <x:c r="AV56" s="40" t="str">
        <x:v>×</x:v>
      </x:c>
      <x:c r="AW56" s="40" t="str">
        <x:v>×</x:v>
      </x:c>
      <x:c r="AX56" s="40" t="str">
        <x:v>×</x:v>
      </x:c>
      <x:c r="AY56" s="40" t="str">
        <x:v>×</x:v>
      </x:c>
      <x:c r="AZ56" s="40" t="str">
        <x:v>×</x:v>
      </x:c>
      <x:c r="BA56" s="40" t="str">
        <x:v>×</x:v>
      </x:c>
      <x:c r="BB56" s="41" t="str">
        <x:v>M</x:v>
      </x:c>
    </x:row>
    <x:row r="57">
      <x:c r="A57" s="37" t="str">
        <x:v>noresm2_mm</x:v>
      </x:c>
      <x:c r="B57" s="38" t="n">
        <x:f>COUNTIF(D57:BB57,"&lt;&gt;×")</x:f>
        <x:v>44</x:v>
      </x:c>
      <x:c r="C57" s="39" t="n">
        <x:f>B57/51</x:f>
        <x:v>0.8627450980392157</x:v>
      </x:c>
      <x:c r="D57" s="40" t="str">
        <x:v>M</x:v>
      </x:c>
      <x:c r="E57" s="40" t="str">
        <x:v>×</x:v>
      </x:c>
      <x:c r="F57" s="40" t="str">
        <x:v>D</x:v>
      </x:c>
      <x:c r="G57" s="40" t="str">
        <x:v>D</x:v>
      </x:c>
      <x:c r="H57" s="40" t="str">
        <x:v>×</x:v>
      </x:c>
      <x:c r="I57" s="40" t="str">
        <x:v>M</x:v>
      </x:c>
      <x:c r="J57" s="40" t="str">
        <x:v>M</x:v>
      </x:c>
      <x:c r="K57" s="40" t="str">
        <x:v>M</x:v>
      </x:c>
      <x:c r="L57" s="40" t="str">
        <x:v>F</x:v>
      </x:c>
      <x:c r="M57" s="40" t="str">
        <x:v>F</x:v>
      </x:c>
      <x:c r="N57" s="40" t="str">
        <x:v>×</x:v>
      </x:c>
      <x:c r="O57" s="40" t="str">
        <x:v>M</x:v>
      </x:c>
      <x:c r="P57" s="40" t="str">
        <x:v>M+D</x:v>
      </x:c>
      <x:c r="Q57" s="40" t="str">
        <x:v>×</x:v>
      </x:c>
      <x:c r="R57" s="40" t="str">
        <x:v>M+D</x:v>
      </x:c>
      <x:c r="S57" s="40" t="str">
        <x:v>M+D</x:v>
      </x:c>
      <x:c r="T57" s="40" t="str">
        <x:v>×</x:v>
      </x:c>
      <x:c r="U57" s="40" t="str">
        <x:v>M</x:v>
      </x:c>
      <x:c r="V57" s="40" t="str">
        <x:v>×</x:v>
      </x:c>
      <x:c r="W57" s="40" t="str">
        <x:v>M+D</x:v>
      </x:c>
      <x:c r="X57" s="40" t="str">
        <x:v>×</x:v>
      </x:c>
      <x:c r="Y57" s="40" t="str">
        <x:v>F</x:v>
      </x:c>
      <x:c r="Z57" s="40" t="str">
        <x:v>F</x:v>
      </x:c>
      <x:c r="AA57" s="40" t="str">
        <x:v>M</x:v>
      </x:c>
      <x:c r="AB57" s="40" t="str">
        <x:v>M</x:v>
      </x:c>
      <x:c r="AC57" s="40" t="str">
        <x:v>M</x:v>
      </x:c>
      <x:c r="AD57" s="40" t="str">
        <x:v>M+D</x:v>
      </x:c>
      <x:c r="AE57" s="40" t="str">
        <x:v>M</x:v>
      </x:c>
      <x:c r="AF57" s="40" t="str">
        <x:v>M</x:v>
      </x:c>
      <x:c r="AG57" s="40" t="str">
        <x:v>M</x:v>
      </x:c>
      <x:c r="AH57" s="40" t="str">
        <x:v>M</x:v>
      </x:c>
      <x:c r="AI57" s="40" t="str">
        <x:v>M</x:v>
      </x:c>
      <x:c r="AJ57" s="40" t="str">
        <x:v>M</x:v>
      </x:c>
      <x:c r="AK57" s="40" t="str">
        <x:v>M</x:v>
      </x:c>
      <x:c r="AL57" s="40" t="str">
        <x:v>F</x:v>
      </x:c>
      <x:c r="AM57" s="40" t="str">
        <x:v>M</x:v>
      </x:c>
      <x:c r="AN57" s="40" t="str">
        <x:v>M</x:v>
      </x:c>
      <x:c r="AO57" s="40" t="str">
        <x:v>M</x:v>
      </x:c>
      <x:c r="AP57" s="40" t="str">
        <x:v>M</x:v>
      </x:c>
      <x:c r="AQ57" s="40" t="str">
        <x:v>M</x:v>
      </x:c>
      <x:c r="AR57" s="40" t="str">
        <x:v>M</x:v>
      </x:c>
      <x:c r="AS57" s="40" t="str">
        <x:v>M</x:v>
      </x:c>
      <x:c r="AT57" s="40" t="str">
        <x:v>M</x:v>
      </x:c>
      <x:c r="AU57" s="40" t="str">
        <x:v>M</x:v>
      </x:c>
      <x:c r="AV57" s="40" t="str">
        <x:v>M</x:v>
      </x:c>
      <x:c r="AW57" s="40" t="str">
        <x:v>M</x:v>
      </x:c>
      <x:c r="AX57" s="40" t="str">
        <x:v>M</x:v>
      </x:c>
      <x:c r="AY57" s="40" t="str">
        <x:v>M</x:v>
      </x:c>
      <x:c r="AZ57" s="40" t="str">
        <x:v>M</x:v>
      </x:c>
      <x:c r="BA57" s="40" t="str">
        <x:v>M</x:v>
      </x:c>
      <x:c r="BB57" s="41" t="str">
        <x:v>M</x:v>
      </x:c>
    </x:row>
    <x:row r="58">
      <x:c r="A58" s="37" t="str">
        <x:v>sam0_unicon</x:v>
      </x:c>
      <x:c r="B58" s="38" t="n">
        <x:f>COUNTIF(D58:BB58,"&lt;&gt;×")</x:f>
        <x:v>42</x:v>
      </x:c>
      <x:c r="C58" s="39" t="n">
        <x:f>B58/51</x:f>
        <x:v>0.8235294117647058</x:v>
      </x:c>
      <x:c r="D58" s="40" t="str">
        <x:v>M</x:v>
      </x:c>
      <x:c r="E58" s="40" t="str">
        <x:v>×</x:v>
      </x:c>
      <x:c r="F58" s="40" t="str">
        <x:v>M+D</x:v>
      </x:c>
      <x:c r="G58" s="40" t="str">
        <x:v>M+D</x:v>
      </x:c>
      <x:c r="H58" s="40" t="str">
        <x:v>×</x:v>
      </x:c>
      <x:c r="I58" s="40" t="str">
        <x:v>M</x:v>
      </x:c>
      <x:c r="J58" s="40" t="str">
        <x:v>M</x:v>
      </x:c>
      <x:c r="K58" s="40" t="str">
        <x:v>M</x:v>
      </x:c>
      <x:c r="L58" s="40" t="str">
        <x:v>F</x:v>
      </x:c>
      <x:c r="M58" s="40" t="str">
        <x:v>F</x:v>
      </x:c>
      <x:c r="N58" s="40" t="str">
        <x:v>F</x:v>
      </x:c>
      <x:c r="O58" s="40" t="str">
        <x:v>M</x:v>
      </x:c>
      <x:c r="P58" s="40" t="str">
        <x:v>M</x:v>
      </x:c>
      <x:c r="Q58" s="40" t="str">
        <x:v>×</x:v>
      </x:c>
      <x:c r="R58" s="40" t="str">
        <x:v>M+D</x:v>
      </x:c>
      <x:c r="S58" s="40" t="str">
        <x:v>M+D</x:v>
      </x:c>
      <x:c r="T58" s="40" t="str">
        <x:v>×</x:v>
      </x:c>
      <x:c r="U58" s="40" t="str">
        <x:v>M</x:v>
      </x:c>
      <x:c r="V58" s="40" t="str">
        <x:v>F</x:v>
      </x:c>
      <x:c r="W58" s="40" t="str">
        <x:v>M+D</x:v>
      </x:c>
      <x:c r="X58" s="40" t="str">
        <x:v>M</x:v>
      </x:c>
      <x:c r="Y58" s="40" t="str">
        <x:v>×</x:v>
      </x:c>
      <x:c r="Z58" s="40" t="str">
        <x:v>F</x:v>
      </x:c>
      <x:c r="AA58" s="40" t="str">
        <x:v>×</x:v>
      </x:c>
      <x:c r="AB58" s="40" t="str">
        <x:v>×</x:v>
      </x:c>
      <x:c r="AC58" s="40" t="str">
        <x:v>×</x:v>
      </x:c>
      <x:c r="AD58" s="40" t="str">
        <x:v>M+D</x:v>
      </x:c>
      <x:c r="AE58" s="40" t="str">
        <x:v>M</x:v>
      </x:c>
      <x:c r="AF58" s="40" t="str">
        <x:v>M</x:v>
      </x:c>
      <x:c r="AG58" s="40" t="str">
        <x:v>M</x:v>
      </x:c>
      <x:c r="AH58" s="40" t="str">
        <x:v>M</x:v>
      </x:c>
      <x:c r="AI58" s="40" t="str">
        <x:v>M</x:v>
      </x:c>
      <x:c r="AJ58" s="40" t="str">
        <x:v>M</x:v>
      </x:c>
      <x:c r="AK58" s="40" t="str">
        <x:v>M</x:v>
      </x:c>
      <x:c r="AL58" s="40" t="str">
        <x:v>F</x:v>
      </x:c>
      <x:c r="AM58" s="40" t="str">
        <x:v>M</x:v>
      </x:c>
      <x:c r="AN58" s="40" t="str">
        <x:v>M</x:v>
      </x:c>
      <x:c r="AO58" s="40" t="str">
        <x:v>M</x:v>
      </x:c>
      <x:c r="AP58" s="40" t="str">
        <x:v>M</x:v>
      </x:c>
      <x:c r="AQ58" s="40" t="str">
        <x:v>M</x:v>
      </x:c>
      <x:c r="AR58" s="40" t="str">
        <x:v>M</x:v>
      </x:c>
      <x:c r="AS58" s="40" t="str">
        <x:v>×</x:v>
      </x:c>
      <x:c r="AT58" s="40" t="str">
        <x:v>M</x:v>
      </x:c>
      <x:c r="AU58" s="40" t="str">
        <x:v>M</x:v>
      </x:c>
      <x:c r="AV58" s="40" t="str">
        <x:v>M</x:v>
      </x:c>
      <x:c r="AW58" s="40" t="str">
        <x:v>M</x:v>
      </x:c>
      <x:c r="AX58" s="40" t="str">
        <x:v>M</x:v>
      </x:c>
      <x:c r="AY58" s="40" t="str">
        <x:v>M</x:v>
      </x:c>
      <x:c r="AZ58" s="40" t="str">
        <x:v>M</x:v>
      </x:c>
      <x:c r="BA58" s="40" t="str">
        <x:v>M</x:v>
      </x:c>
      <x:c r="BB58" s="41" t="str">
        <x:v>M</x:v>
      </x:c>
    </x:row>
    <x:row r="59">
      <x:c r="A59" s="37" t="str">
        <x:v>taiesm1</x:v>
      </x:c>
      <x:c r="B59" s="38" t="n">
        <x:f>COUNTIF(D59:BB59,"&lt;&gt;×")</x:f>
        <x:v>38</x:v>
      </x:c>
      <x:c r="C59" s="39" t="n">
        <x:f>B59/51</x:f>
        <x:v>0.7450980392156863</x:v>
      </x:c>
      <x:c r="D59" s="40" t="str">
        <x:v>M</x:v>
      </x:c>
      <x:c r="E59" s="40" t="str">
        <x:v>×</x:v>
      </x:c>
      <x:c r="F59" s="40" t="str">
        <x:v>×</x:v>
      </x:c>
      <x:c r="G59" s="40" t="str">
        <x:v>×</x:v>
      </x:c>
      <x:c r="H59" s="40" t="str">
        <x:v>×</x:v>
      </x:c>
      <x:c r="I59" s="40" t="str">
        <x:v>M</x:v>
      </x:c>
      <x:c r="J59" s="40" t="str">
        <x:v>M</x:v>
      </x:c>
      <x:c r="K59" s="40" t="str">
        <x:v>M</x:v>
      </x:c>
      <x:c r="L59" s="40" t="str">
        <x:v>F</x:v>
      </x:c>
      <x:c r="M59" s="40" t="str">
        <x:v>×</x:v>
      </x:c>
      <x:c r="N59" s="40" t="str">
        <x:v>×</x:v>
      </x:c>
      <x:c r="O59" s="40" t="str">
        <x:v>M</x:v>
      </x:c>
      <x:c r="P59" s="40" t="str">
        <x:v>M+D</x:v>
      </x:c>
      <x:c r="Q59" s="40" t="str">
        <x:v>×</x:v>
      </x:c>
      <x:c r="R59" s="40" t="str">
        <x:v>M+D</x:v>
      </x:c>
      <x:c r="S59" s="40" t="str">
        <x:v>M+D</x:v>
      </x:c>
      <x:c r="T59" s="40" t="str">
        <x:v>×</x:v>
      </x:c>
      <x:c r="U59" s="40" t="str">
        <x:v>M</x:v>
      </x:c>
      <x:c r="V59" s="40" t="str">
        <x:v>F</x:v>
      </x:c>
      <x:c r="W59" s="40" t="str">
        <x:v>M+D</x:v>
      </x:c>
      <x:c r="X59" s="40" t="str">
        <x:v>M</x:v>
      </x:c>
      <x:c r="Y59" s="40" t="str">
        <x:v>×</x:v>
      </x:c>
      <x:c r="Z59" s="40" t="str">
        <x:v>×</x:v>
      </x:c>
      <x:c r="AA59" s="40" t="str">
        <x:v>M</x:v>
      </x:c>
      <x:c r="AB59" s="40" t="str">
        <x:v>×</x:v>
      </x:c>
      <x:c r="AC59" s="40" t="str">
        <x:v>M</x:v>
      </x:c>
      <x:c r="AD59" s="40" t="str">
        <x:v>M+D</x:v>
      </x:c>
      <x:c r="AE59" s="40" t="str">
        <x:v>M</x:v>
      </x:c>
      <x:c r="AF59" s="40" t="str">
        <x:v>×</x:v>
      </x:c>
      <x:c r="AG59" s="40" t="str">
        <x:v>M</x:v>
      </x:c>
      <x:c r="AH59" s="40" t="str">
        <x:v>M</x:v>
      </x:c>
      <x:c r="AI59" s="40" t="str">
        <x:v>M</x:v>
      </x:c>
      <x:c r="AJ59" s="40" t="str">
        <x:v>M</x:v>
      </x:c>
      <x:c r="AK59" s="40" t="str">
        <x:v>M</x:v>
      </x:c>
      <x:c r="AL59" s="40" t="str">
        <x:v>F</x:v>
      </x:c>
      <x:c r="AM59" s="40" t="str">
        <x:v>M</x:v>
      </x:c>
      <x:c r="AN59" s="40" t="str">
        <x:v>M</x:v>
      </x:c>
      <x:c r="AO59" s="40" t="str">
        <x:v>M</x:v>
      </x:c>
      <x:c r="AP59" s="40" t="str">
        <x:v>M</x:v>
      </x:c>
      <x:c r="AQ59" s="40" t="str">
        <x:v>M</x:v>
      </x:c>
      <x:c r="AR59" s="40" t="str">
        <x:v>M</x:v>
      </x:c>
      <x:c r="AS59" s="40" t="str">
        <x:v>×</x:v>
      </x:c>
      <x:c r="AT59" s="40" t="str">
        <x:v>M</x:v>
      </x:c>
      <x:c r="AU59" s="40" t="str">
        <x:v>M</x:v>
      </x:c>
      <x:c r="AV59" s="40" t="str">
        <x:v>M</x:v>
      </x:c>
      <x:c r="AW59" s="40" t="str">
        <x:v>M</x:v>
      </x:c>
      <x:c r="AX59" s="40" t="str">
        <x:v>M</x:v>
      </x:c>
      <x:c r="AY59" s="40" t="str">
        <x:v>M</x:v>
      </x:c>
      <x:c r="AZ59" s="40" t="str">
        <x:v>M</x:v>
      </x:c>
      <x:c r="BA59" s="40" t="str">
        <x:v>M</x:v>
      </x:c>
      <x:c r="BB59" s="41" t="str">
        <x:v>M</x:v>
      </x:c>
    </x:row>
    <x:row r="60">
      <x:c r="A60" s="42" t="str">
        <x:v>ukesm1_0_ll</x:v>
      </x:c>
      <x:c r="B60" s="43" t="n">
        <x:f>COUNTIF(D60:BB60,"&lt;&gt;×")</x:f>
        <x:v>40</x:v>
      </x:c>
      <x:c r="C60" s="44" t="n">
        <x:f>B60/51</x:f>
        <x:v>0.7843137254901961</x:v>
      </x:c>
      <x:c r="D60" s="45" t="str">
        <x:v>M</x:v>
      </x:c>
      <x:c r="E60" s="45" t="str">
        <x:v>×</x:v>
      </x:c>
      <x:c r="F60" s="45" t="str">
        <x:v>M</x:v>
      </x:c>
      <x:c r="G60" s="45" t="str">
        <x:v>M+D</x:v>
      </x:c>
      <x:c r="H60" s="45" t="str">
        <x:v>M</x:v>
      </x:c>
      <x:c r="I60" s="45" t="str">
        <x:v>M</x:v>
      </x:c>
      <x:c r="J60" s="45" t="str">
        <x:v>M</x:v>
      </x:c>
      <x:c r="K60" s="45" t="str">
        <x:v>M</x:v>
      </x:c>
      <x:c r="L60" s="45" t="str">
        <x:v>×</x:v>
      </x:c>
      <x:c r="M60" s="45" t="str">
        <x:v>×</x:v>
      </x:c>
      <x:c r="N60" s="45" t="str">
        <x:v>×</x:v>
      </x:c>
      <x:c r="O60" s="45" t="str">
        <x:v>M</x:v>
      </x:c>
      <x:c r="P60" s="45" t="str">
        <x:v>M+D</x:v>
      </x:c>
      <x:c r="Q60" s="45" t="str">
        <x:v>×</x:v>
      </x:c>
      <x:c r="R60" s="45" t="str">
        <x:v>M+D</x:v>
      </x:c>
      <x:c r="S60" s="45" t="str">
        <x:v>M+D</x:v>
      </x:c>
      <x:c r="T60" s="45" t="str">
        <x:v>M</x:v>
      </x:c>
      <x:c r="U60" s="45" t="str">
        <x:v>M</x:v>
      </x:c>
      <x:c r="V60" s="45" t="str">
        <x:v>×</x:v>
      </x:c>
      <x:c r="W60" s="45" t="str">
        <x:v>M+D</x:v>
      </x:c>
      <x:c r="X60" s="45" t="str">
        <x:v>M</x:v>
      </x:c>
      <x:c r="Y60" s="45" t="str">
        <x:v>×</x:v>
      </x:c>
      <x:c r="Z60" s="45" t="str">
        <x:v>×</x:v>
      </x:c>
      <x:c r="AA60" s="45" t="str">
        <x:v>M</x:v>
      </x:c>
      <x:c r="AB60" s="45" t="str">
        <x:v>M</x:v>
      </x:c>
      <x:c r="AC60" s="45" t="str">
        <x:v>M</x:v>
      </x:c>
      <x:c r="AD60" s="45" t="str">
        <x:v>M+D</x:v>
      </x:c>
      <x:c r="AE60" s="45" t="str">
        <x:v>M</x:v>
      </x:c>
      <x:c r="AF60" s="45" t="str">
        <x:v>M</x:v>
      </x:c>
      <x:c r="AG60" s="45" t="str">
        <x:v>M</x:v>
      </x:c>
      <x:c r="AH60" s="45" t="str">
        <x:v>×</x:v>
      </x:c>
      <x:c r="AI60" s="45" t="str">
        <x:v>M</x:v>
      </x:c>
      <x:c r="AJ60" s="45" t="str">
        <x:v>M</x:v>
      </x:c>
      <x:c r="AK60" s="45" t="str">
        <x:v>M</x:v>
      </x:c>
      <x:c r="AL60" s="45" t="str">
        <x:v>×</x:v>
      </x:c>
      <x:c r="AM60" s="45" t="str">
        <x:v>M</x:v>
      </x:c>
      <x:c r="AN60" s="45" t="str">
        <x:v>M</x:v>
      </x:c>
      <x:c r="AO60" s="45" t="str">
        <x:v>M</x:v>
      </x:c>
      <x:c r="AP60" s="45" t="str">
        <x:v>M</x:v>
      </x:c>
      <x:c r="AQ60" s="45" t="str">
        <x:v>×</x:v>
      </x:c>
      <x:c r="AR60" s="45" t="str">
        <x:v>M</x:v>
      </x:c>
      <x:c r="AS60" s="45" t="str">
        <x:v>M</x:v>
      </x:c>
      <x:c r="AT60" s="45" t="str">
        <x:v>M</x:v>
      </x:c>
      <x:c r="AU60" s="45" t="str">
        <x:v>M</x:v>
      </x:c>
      <x:c r="AV60" s="45" t="str">
        <x:v>M</x:v>
      </x:c>
      <x:c r="AW60" s="45" t="str">
        <x:v>M</x:v>
      </x:c>
      <x:c r="AX60" s="45" t="str">
        <x:v>M</x:v>
      </x:c>
      <x:c r="AY60" s="45" t="str">
        <x:v>M</x:v>
      </x:c>
      <x:c r="AZ60" s="45" t="str">
        <x:v>M</x:v>
      </x:c>
      <x:c r="BA60" s="45" t="str">
        <x:v>M</x:v>
      </x:c>
      <x:c r="BB60" s="46" t="str">
        <x:v>M</x:v>
      </x:c>
    </x:row>
  </x:sheetData>
  <x:mergeCells>
    <x:mergeCell ref="A1:F1"/>
  </x:mergeCells>
  <x:conditionalFormatting sqref="D3:BB60">
    <x:cfRule type="containsText" dxfId="2" priority="1" operator="containsText" text="×"/>
    <x:cfRule type="containsText" dxfId="3" priority="2" operator="containsText" text="M"/>
    <x:cfRule type="containsText" dxfId="4" priority="3" operator="containsText" text="F"/>
    <x:cfRule type="containsText" dxfId="5" priority="4" operator="containsText" text="D"/>
  </x:conditionalFormatting>
  <x:pageMargins left="0.7" right="0.7" top="0.75" bottom="0.75" header="0.3" footer="0.3"/>
  <x:tableParts count="1">
    <x:tablePart xmlns:r="http://schemas.openxmlformats.org/officeDocument/2006/relationships" r:id="Re9ec634bc9304cc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42" hidden="0" customWidth="1"/>
    <x:col min="3" max="3" width="42" hidden="0" customWidth="1"/>
    <x:col min="4" max="4" width="18" hidden="0" customWidth="1"/>
    <x:col min="5" max="5" width="20" hidden="0" customWidth="1"/>
    <x:col min="6" max="6" width="22" hidden="0" customWidth="1"/>
    <x:col min="7" max="7" width="45" hidden="0" customWidth="1"/>
  </x:cols>
  <x:sheetData>
    <x:row r="1" ht="28" customHeight="1">
      <x:c r="A1" s="21" t="str">
        <x:v>CDS historical variable dictionary</x:v>
      </x:c>
      <x:c r="B1" s="21"/>
      <x:c r="C1" s="21"/>
      <x:c r="D1" s="21"/>
      <x:c r="E1" s="21"/>
      <x:c r="F1" s="21"/>
      <x:c r="G1" s="21"/>
    </x:row>
    <x:row r="3">
      <x:c r="A3" s="47" t="str">
        <x:v>Code</x:v>
      </x:c>
      <x:c r="B3" s="47" t="str">
        <x:v>CDS display name</x:v>
      </x:c>
      <x:c r="C3" s="47" t="str">
        <x:v>CDS request key</x:v>
      </x:c>
      <x:c r="D3" s="47" t="str">
        <x:v>CMIP6 variable_id</x:v>
      </x:c>
      <x:c r="E3" s="47" t="str">
        <x:v>Category</x:v>
      </x:c>
      <x:c r="F3" s="47" t="str">
        <x:v>Runoff-case role</x:v>
      </x:c>
      <x:c r="G3" s="47" t="str">
        <x:v>Source</x:v>
      </x:c>
    </x:row>
    <x:row r="4">
      <x:c r="A4" s="60" t="str">
        <x:v>V01</x:v>
      </x:c>
      <x:c r="B4" s="63" t="str">
        <x:v>Air temperature</x:v>
      </x:c>
      <x:c r="C4" s="63" t="str">
        <x:v>air_temperature</x:v>
      </x:c>
      <x:c r="D4" s="63" t="str">
        <x:v>ta</x:v>
      </x:c>
      <x:c r="E4" s="63" t="str">
        <x:v>Atmosphere</x:v>
      </x:c>
      <x:c r="F4" s="63" t="str">
        <x:v>Not in current case</x:v>
      </x:c>
      <x:c r="G4" s="64" t="str">
        <x:v>Copernicus CDS CMIP6</x:v>
      </x:c>
    </x:row>
    <x:row r="5">
      <x:c r="A5" s="61" t="str">
        <x:v>V02</x:v>
      </x:c>
      <x:c r="B5" s="65" t="str">
        <x:v>Capacity of soil to store water</x:v>
      </x:c>
      <x:c r="C5" s="65" t="str">
        <x:v>capacity_of_soil_to_store_water</x:v>
      </x:c>
      <x:c r="D5" s="65" t="str">
        <x:v>mrsofc</x:v>
      </x:c>
      <x:c r="E5" s="65" t="str">
        <x:v>Terrestrial water</x:v>
      </x:c>
      <x:c r="F5" s="65" t="str">
        <x:v>Not in current case</x:v>
      </x:c>
      <x:c r="G5" s="66" t="str">
        <x:v>Copernicus CDS CMIP6</x:v>
      </x:c>
    </x:row>
    <x:row r="6">
      <x:c r="A6" s="61" t="str">
        <x:v>V03</x:v>
      </x:c>
      <x:c r="B6" s="65" t="str">
        <x:v>Daily maximum near-surface air temperature</x:v>
      </x:c>
      <x:c r="C6" s="65" t="str">
        <x:v>daily_maximum_near_surface_air_temperature</x:v>
      </x:c>
      <x:c r="D6" s="65" t="str">
        <x:v>tasmax</x:v>
      </x:c>
      <x:c r="E6" s="65" t="str">
        <x:v>Atmosphere</x:v>
      </x:c>
      <x:c r="F6" s="65" t="str">
        <x:v>Not in current case</x:v>
      </x:c>
      <x:c r="G6" s="66" t="str">
        <x:v>Copernicus CDS CMIP6</x:v>
      </x:c>
    </x:row>
    <x:row r="7">
      <x:c r="A7" s="61" t="str">
        <x:v>V04</x:v>
      </x:c>
      <x:c r="B7" s="65" t="str">
        <x:v>Daily minimum near-surface air temperature</x:v>
      </x:c>
      <x:c r="C7" s="65" t="str">
        <x:v>daily_minimum_near_surface_air_temperature</x:v>
      </x:c>
      <x:c r="D7" s="65" t="str">
        <x:v>tasmin</x:v>
      </x:c>
      <x:c r="E7" s="65" t="str">
        <x:v>Atmosphere</x:v>
      </x:c>
      <x:c r="F7" s="65" t="str">
        <x:v>Not in current case</x:v>
      </x:c>
      <x:c r="G7" s="66" t="str">
        <x:v>Copernicus CDS CMIP6</x:v>
      </x:c>
    </x:row>
    <x:row r="8">
      <x:c r="A8" s="61" t="str">
        <x:v>V05</x:v>
      </x:c>
      <x:c r="B8" s="65" t="str">
        <x:v>Eastward near-surface wind</x:v>
      </x:c>
      <x:c r="C8" s="65" t="str">
        <x:v>eastward_near_surface_wind</x:v>
      </x:c>
      <x:c r="D8" s="65" t="str">
        <x:v>uas</x:v>
      </x:c>
      <x:c r="E8" s="65" t="str">
        <x:v>Atmosphere</x:v>
      </x:c>
      <x:c r="F8" s="65" t="str">
        <x:v>Not in current case</x:v>
      </x:c>
      <x:c r="G8" s="66" t="str">
        <x:v>Copernicus CDS CMIP6</x:v>
      </x:c>
    </x:row>
    <x:row r="9">
      <x:c r="A9" s="61" t="str">
        <x:v>V06</x:v>
      </x:c>
      <x:c r="B9" s="65" t="str">
        <x:v>Eastward wind</x:v>
      </x:c>
      <x:c r="C9" s="65" t="str">
        <x:v>eastward_wind</x:v>
      </x:c>
      <x:c r="D9" s="65" t="str">
        <x:v>ua</x:v>
      </x:c>
      <x:c r="E9" s="65" t="str">
        <x:v>Atmosphere</x:v>
      </x:c>
      <x:c r="F9" s="65" t="str">
        <x:v>Not in current case</x:v>
      </x:c>
      <x:c r="G9" s="66" t="str">
        <x:v>Copernicus CDS CMIP6</x:v>
      </x:c>
    </x:row>
    <x:row r="10">
      <x:c r="A10" s="61" t="str">
        <x:v>V07</x:v>
      </x:c>
      <x:c r="B10" s="65" t="str">
        <x:v>Evaporation including sublimation and transpiration</x:v>
      </x:c>
      <x:c r="C10" s="65" t="str">
        <x:v>evaporation_including_sublimation_and_transpiration</x:v>
      </x:c>
      <x:c r="D10" s="65" t="str">
        <x:v>evspsbl</x:v>
      </x:c>
      <x:c r="E10" s="65" t="str">
        <x:v>Terrestrial water</x:v>
      </x:c>
      <x:c r="F10" s="65" t="str">
        <x:v>Core water balance</x:v>
      </x:c>
      <x:c r="G10" s="66" t="str">
        <x:v>Copernicus CDS CMIP6</x:v>
      </x:c>
    </x:row>
    <x:row r="11">
      <x:c r="A11" s="61" t="str">
        <x:v>V08</x:v>
      </x:c>
      <x:c r="B11" s="65" t="str">
        <x:v>Geopotential height</x:v>
      </x:c>
      <x:c r="C11" s="65" t="str">
        <x:v>geopotential_height</x:v>
      </x:c>
      <x:c r="D11" s="65" t="str">
        <x:v>zg</x:v>
      </x:c>
      <x:c r="E11" s="65" t="str">
        <x:v>Atmosphere</x:v>
      </x:c>
      <x:c r="F11" s="65" t="str">
        <x:v>Not in current case</x:v>
      </x:c>
      <x:c r="G11" s="66" t="str">
        <x:v>Copernicus CDS CMIP6</x:v>
      </x:c>
    </x:row>
    <x:row r="12">
      <x:c r="A12" s="61" t="str">
        <x:v>V09</x:v>
      </x:c>
      <x:c r="B12" s="65" t="str">
        <x:v>Grid-cell area for atmospheric grid variables</x:v>
      </x:c>
      <x:c r="C12" s="65" t="str">
        <x:v>grid_cell_area_for_atmospheric_grid_variables</x:v>
      </x:c>
      <x:c r="D12" s="65" t="str">
        <x:v>areacella</x:v>
      </x:c>
      <x:c r="E12" s="65" t="str">
        <x:v>Fixed / geometry</x:v>
      </x:c>
      <x:c r="F12" s="65" t="str">
        <x:v>Preprocessing support</x:v>
      </x:c>
      <x:c r="G12" s="66" t="str">
        <x:v>Copernicus CDS CMIP6</x:v>
      </x:c>
    </x:row>
    <x:row r="13">
      <x:c r="A13" s="61" t="str">
        <x:v>V10</x:v>
      </x:c>
      <x:c r="B13" s="65" t="str">
        <x:v>Grid-cell area for ocean variables</x:v>
      </x:c>
      <x:c r="C13" s="65" t="str">
        <x:v>grid_cell_area_for_ocean_variables</x:v>
      </x:c>
      <x:c r="D13" s="65" t="str">
        <x:v>areacello</x:v>
      </x:c>
      <x:c r="E13" s="65" t="str">
        <x:v>Ocean / sea ice</x:v>
      </x:c>
      <x:c r="F13" s="65" t="str">
        <x:v>Not in current case</x:v>
      </x:c>
      <x:c r="G13" s="66" t="str">
        <x:v>Copernicus CDS CMIP6</x:v>
      </x:c>
    </x:row>
    <x:row r="14">
      <x:c r="A14" s="61" t="str">
        <x:v>V11</x:v>
      </x:c>
      <x:c r="B14" s="65" t="str">
        <x:v>Land ice area percentage</x:v>
      </x:c>
      <x:c r="C14" s="65" t="str">
        <x:v>land_ice_area_percentage</x:v>
      </x:c>
      <x:c r="D14" s="65" t="str">
        <x:v>sftgif</x:v>
      </x:c>
      <x:c r="E14" s="65" t="str">
        <x:v>Snow / land ice</x:v>
      </x:c>
      <x:c r="F14" s="65" t="str">
        <x:v>Preprocessing support</x:v>
      </x:c>
      <x:c r="G14" s="66" t="str">
        <x:v>Copernicus CDS CMIP6</x:v>
      </x:c>
    </x:row>
    <x:row r="15">
      <x:c r="A15" s="61" t="str">
        <x:v>V12</x:v>
      </x:c>
      <x:c r="B15" s="65" t="str">
        <x:v>Moisture in upper portion of soil column</x:v>
      </x:c>
      <x:c r="C15" s="65" t="str">
        <x:v>moisture_in_upper_portion_of_soil_column</x:v>
      </x:c>
      <x:c r="D15" s="65" t="str">
        <x:v>mrsos</x:v>
      </x:c>
      <x:c r="E15" s="65" t="str">
        <x:v>Terrestrial water</x:v>
      </x:c>
      <x:c r="F15" s="65" t="str">
        <x:v>Current Level 2</x:v>
      </x:c>
      <x:c r="G15" s="66" t="str">
        <x:v>Copernicus CDS CMIP6</x:v>
      </x:c>
    </x:row>
    <x:row r="16">
      <x:c r="A16" s="61" t="str">
        <x:v>V13</x:v>
      </x:c>
      <x:c r="B16" s="65" t="str">
        <x:v>Near-surface air temperature</x:v>
      </x:c>
      <x:c r="C16" s="65" t="str">
        <x:v>near_surface_air_temperature</x:v>
      </x:c>
      <x:c r="D16" s="65" t="str">
        <x:v>tas</x:v>
      </x:c>
      <x:c r="E16" s="65" t="str">
        <x:v>Atmosphere</x:v>
      </x:c>
      <x:c r="F16" s="65" t="str">
        <x:v>Current Level 2</x:v>
      </x:c>
      <x:c r="G16" s="66" t="str">
        <x:v>Copernicus CDS CMIP6</x:v>
      </x:c>
    </x:row>
    <x:row r="17">
      <x:c r="A17" s="61" t="str">
        <x:v>V14</x:v>
      </x:c>
      <x:c r="B17" s="65" t="str">
        <x:v>Near-surface relative humidity</x:v>
      </x:c>
      <x:c r="C17" s="65" t="str">
        <x:v>near_surface_relative_humidity</x:v>
      </x:c>
      <x:c r="D17" s="65" t="str">
        <x:v>hurs</x:v>
      </x:c>
      <x:c r="E17" s="65" t="str">
        <x:v>Atmosphere</x:v>
      </x:c>
      <x:c r="F17" s="65" t="str">
        <x:v>Potential extension</x:v>
      </x:c>
      <x:c r="G17" s="66" t="str">
        <x:v>Copernicus CDS CMIP6</x:v>
      </x:c>
    </x:row>
    <x:row r="18">
      <x:c r="A18" s="61" t="str">
        <x:v>V15</x:v>
      </x:c>
      <x:c r="B18" s="65" t="str">
        <x:v>Near-surface specific humidity</x:v>
      </x:c>
      <x:c r="C18" s="65" t="str">
        <x:v>near_surface_specific_humidity</x:v>
      </x:c>
      <x:c r="D18" s="65" t="str">
        <x:v>huss</x:v>
      </x:c>
      <x:c r="E18" s="65" t="str">
        <x:v>Atmosphere</x:v>
      </x:c>
      <x:c r="F18" s="65" t="str">
        <x:v>Potential extension</x:v>
      </x:c>
      <x:c r="G18" s="66" t="str">
        <x:v>Copernicus CDS CMIP6</x:v>
      </x:c>
    </x:row>
    <x:row r="19">
      <x:c r="A19" s="61" t="str">
        <x:v>V16</x:v>
      </x:c>
      <x:c r="B19" s="65" t="str">
        <x:v>Near-surface wind speed</x:v>
      </x:c>
      <x:c r="C19" s="65" t="str">
        <x:v>near_surface_wind_speed</x:v>
      </x:c>
      <x:c r="D19" s="65" t="str">
        <x:v>sfcWind</x:v>
      </x:c>
      <x:c r="E19" s="65" t="str">
        <x:v>Atmosphere</x:v>
      </x:c>
      <x:c r="F19" s="65" t="str">
        <x:v>Potential extension</x:v>
      </x:c>
      <x:c r="G19" s="66" t="str">
        <x:v>Copernicus CDS CMIP6</x:v>
      </x:c>
    </x:row>
    <x:row r="20">
      <x:c r="A20" s="61" t="str">
        <x:v>V17</x:v>
      </x:c>
      <x:c r="B20" s="65" t="str">
        <x:v>Northward near-surface wind</x:v>
      </x:c>
      <x:c r="C20" s="65" t="str">
        <x:v>northward_near_surface_wind</x:v>
      </x:c>
      <x:c r="D20" s="65" t="str">
        <x:v>vas</x:v>
      </x:c>
      <x:c r="E20" s="65" t="str">
        <x:v>Atmosphere</x:v>
      </x:c>
      <x:c r="F20" s="65" t="str">
        <x:v>Not in current case</x:v>
      </x:c>
      <x:c r="G20" s="66" t="str">
        <x:v>Copernicus CDS CMIP6</x:v>
      </x:c>
    </x:row>
    <x:row r="21">
      <x:c r="A21" s="61" t="str">
        <x:v>V18</x:v>
      </x:c>
      <x:c r="B21" s="65" t="str">
        <x:v>Northward wind</x:v>
      </x:c>
      <x:c r="C21" s="65" t="str">
        <x:v>northward_wind</x:v>
      </x:c>
      <x:c r="D21" s="65" t="str">
        <x:v>va</x:v>
      </x:c>
      <x:c r="E21" s="65" t="str">
        <x:v>Atmosphere</x:v>
      </x:c>
      <x:c r="F21" s="65" t="str">
        <x:v>Not in current case</x:v>
      </x:c>
      <x:c r="G21" s="66" t="str">
        <x:v>Copernicus CDS CMIP6</x:v>
      </x:c>
    </x:row>
    <x:row r="22">
      <x:c r="A22" s="61" t="str">
        <x:v>V19</x:v>
      </x:c>
      <x:c r="B22" s="65" t="str">
        <x:v>Land area percentage including lakes</x:v>
      </x:c>
      <x:c r="C22" s="65" t="str">
        <x:v>percentage_of_the_grid_cell_occupied_by_land_including_lakes</x:v>
      </x:c>
      <x:c r="D22" s="65" t="str">
        <x:v>sftlf</x:v>
      </x:c>
      <x:c r="E22" s="65" t="str">
        <x:v>Other</x:v>
      </x:c>
      <x:c r="F22" s="65" t="str">
        <x:v>Preprocessing support</x:v>
      </x:c>
      <x:c r="G22" s="66" t="str">
        <x:v>Copernicus CDS CMIP6</x:v>
      </x:c>
    </x:row>
    <x:row r="23">
      <x:c r="A23" s="61" t="str">
        <x:v>V20</x:v>
      </x:c>
      <x:c r="B23" s="65" t="str">
        <x:v>Precipitation</x:v>
      </x:c>
      <x:c r="C23" s="65" t="str">
        <x:v>precipitation</x:v>
      </x:c>
      <x:c r="D23" s="65" t="str">
        <x:v>pr</x:v>
      </x:c>
      <x:c r="E23" s="65" t="str">
        <x:v>Terrestrial water</x:v>
      </x:c>
      <x:c r="F23" s="65" t="str">
        <x:v>Core water balance</x:v>
      </x:c>
      <x:c r="G23" s="66" t="str">
        <x:v>Copernicus CDS CMIP6</x:v>
      </x:c>
    </x:row>
    <x:row r="24">
      <x:c r="A24" s="61" t="str">
        <x:v>V21</x:v>
      </x:c>
      <x:c r="B24" s="65" t="str">
        <x:v>Relative humidity</x:v>
      </x:c>
      <x:c r="C24" s="65" t="str">
        <x:v>relative_humidity</x:v>
      </x:c>
      <x:c r="D24" s="65" t="str">
        <x:v>hur</x:v>
      </x:c>
      <x:c r="E24" s="65" t="str">
        <x:v>Atmosphere</x:v>
      </x:c>
      <x:c r="F24" s="65" t="str">
        <x:v>Not in current case</x:v>
      </x:c>
      <x:c r="G24" s="66" t="str">
        <x:v>Copernicus CDS CMIP6</x:v>
      </x:c>
    </x:row>
    <x:row r="25">
      <x:c r="A25" s="61" t="str">
        <x:v>V22</x:v>
      </x:c>
      <x:c r="B25" s="65" t="str">
        <x:v>Sea area percentage</x:v>
      </x:c>
      <x:c r="C25" s="65" t="str">
        <x:v>sea_area_percentage</x:v>
      </x:c>
      <x:c r="D25" s="65" t="str">
        <x:v>sftof</x:v>
      </x:c>
      <x:c r="E25" s="65" t="str">
        <x:v>Ocean / sea ice</x:v>
      </x:c>
      <x:c r="F25" s="65" t="str">
        <x:v>Not in current case</x:v>
      </x:c>
      <x:c r="G25" s="66" t="str">
        <x:v>Copernicus CDS CMIP6</x:v>
      </x:c>
    </x:row>
    <x:row r="26">
      <x:c r="A26" s="61" t="str">
        <x:v>V23</x:v>
      </x:c>
      <x:c r="B26" s="65" t="str">
        <x:v>Sea-floor depth below geoid</x:v>
      </x:c>
      <x:c r="C26" s="65" t="str">
        <x:v>sea_floor_depth_below_geoid</x:v>
      </x:c>
      <x:c r="D26" s="65" t="str">
        <x:v>deptho</x:v>
      </x:c>
      <x:c r="E26" s="65" t="str">
        <x:v>Ocean / sea ice</x:v>
      </x:c>
      <x:c r="F26" s="65" t="str">
        <x:v>Not in current case</x:v>
      </x:c>
      <x:c r="G26" s="66" t="str">
        <x:v>Copernicus CDS CMIP6</x:v>
      </x:c>
    </x:row>
    <x:row r="27">
      <x:c r="A27" s="61" t="str">
        <x:v>V24</x:v>
      </x:c>
      <x:c r="B27" s="65" t="str">
        <x:v>Sea-ice area percentage on ocean grid</x:v>
      </x:c>
      <x:c r="C27" s="65" t="str">
        <x:v>sea_ice_area_percentage_on_ocean_grid</x:v>
      </x:c>
      <x:c r="D27" s="65" t="str">
        <x:v>siconc</x:v>
      </x:c>
      <x:c r="E27" s="65" t="str">
        <x:v>Ocean / sea ice</x:v>
      </x:c>
      <x:c r="F27" s="65" t="str">
        <x:v>Not in current case</x:v>
      </x:c>
      <x:c r="G27" s="66" t="str">
        <x:v>Copernicus CDS CMIP6</x:v>
      </x:c>
    </x:row>
    <x:row r="28">
      <x:c r="A28" s="61" t="str">
        <x:v>V25</x:v>
      </x:c>
      <x:c r="B28" s="65" t="str">
        <x:v>Sea-ice mass per area</x:v>
      </x:c>
      <x:c r="C28" s="65" t="str">
        <x:v>sea_ice_mass_per_area</x:v>
      </x:c>
      <x:c r="D28" s="65" t="str">
        <x:v>simass</x:v>
      </x:c>
      <x:c r="E28" s="65" t="str">
        <x:v>Ocean / sea ice</x:v>
      </x:c>
      <x:c r="F28" s="65" t="str">
        <x:v>Not in current case</x:v>
      </x:c>
      <x:c r="G28" s="66" t="str">
        <x:v>Copernicus CDS CMIP6</x:v>
      </x:c>
    </x:row>
    <x:row r="29">
      <x:c r="A29" s="61" t="str">
        <x:v>V26</x:v>
      </x:c>
      <x:c r="B29" s="65" t="str">
        <x:v>Sea-ice thickness</x:v>
      </x:c>
      <x:c r="C29" s="65" t="str">
        <x:v>sea_ice_thickness</x:v>
      </x:c>
      <x:c r="D29" s="65" t="str">
        <x:v>sithick</x:v>
      </x:c>
      <x:c r="E29" s="65" t="str">
        <x:v>Ocean / sea ice</x:v>
      </x:c>
      <x:c r="F29" s="65" t="str">
        <x:v>Not in current case</x:v>
      </x:c>
      <x:c r="G29" s="66" t="str">
        <x:v>Copernicus CDS CMIP6</x:v>
      </x:c>
    </x:row>
    <x:row r="30">
      <x:c r="A30" s="61" t="str">
        <x:v>V27</x:v>
      </x:c>
      <x:c r="B30" s="65" t="str">
        <x:v>Sea-level pressure</x:v>
      </x:c>
      <x:c r="C30" s="65" t="str">
        <x:v>sea_level_pressure</x:v>
      </x:c>
      <x:c r="D30" s="65" t="str">
        <x:v>psl</x:v>
      </x:c>
      <x:c r="E30" s="65" t="str">
        <x:v>Ocean / sea ice</x:v>
      </x:c>
      <x:c r="F30" s="65" t="str">
        <x:v>Not in current case</x:v>
      </x:c>
      <x:c r="G30" s="66" t="str">
        <x:v>Copernicus CDS CMIP6</x:v>
      </x:c>
    </x:row>
    <x:row r="31">
      <x:c r="A31" s="61" t="str">
        <x:v>V28</x:v>
      </x:c>
      <x:c r="B31" s="65" t="str">
        <x:v>Sea-surface height above geoid</x:v>
      </x:c>
      <x:c r="C31" s="65" t="str">
        <x:v>sea_surface_height_above_geoid</x:v>
      </x:c>
      <x:c r="D31" s="65" t="str">
        <x:v>zos</x:v>
      </x:c>
      <x:c r="E31" s="65" t="str">
        <x:v>Ocean / sea ice</x:v>
      </x:c>
      <x:c r="F31" s="65" t="str">
        <x:v>Not in current case</x:v>
      </x:c>
      <x:c r="G31" s="66" t="str">
        <x:v>Copernicus CDS CMIP6</x:v>
      </x:c>
    </x:row>
    <x:row r="32">
      <x:c r="A32" s="61" t="str">
        <x:v>V29</x:v>
      </x:c>
      <x:c r="B32" s="65" t="str">
        <x:v>Sea-surface salinity</x:v>
      </x:c>
      <x:c r="C32" s="65" t="str">
        <x:v>sea_surface_salinity</x:v>
      </x:c>
      <x:c r="D32" s="65" t="str">
        <x:v>sos</x:v>
      </x:c>
      <x:c r="E32" s="65" t="str">
        <x:v>Ocean / sea ice</x:v>
      </x:c>
      <x:c r="F32" s="65" t="str">
        <x:v>Not in current case</x:v>
      </x:c>
      <x:c r="G32" s="66" t="str">
        <x:v>Copernicus CDS CMIP6</x:v>
      </x:c>
    </x:row>
    <x:row r="33">
      <x:c r="A33" s="61" t="str">
        <x:v>V30</x:v>
      </x:c>
      <x:c r="B33" s="65" t="str">
        <x:v>Sea-surface temperature</x:v>
      </x:c>
      <x:c r="C33" s="65" t="str">
        <x:v>sea_surface_temperature</x:v>
      </x:c>
      <x:c r="D33" s="65" t="str">
        <x:v>tos</x:v>
      </x:c>
      <x:c r="E33" s="65" t="str">
        <x:v>Ocean / sea ice</x:v>
      </x:c>
      <x:c r="F33" s="65" t="str">
        <x:v>Not in current case</x:v>
      </x:c>
      <x:c r="G33" s="66" t="str">
        <x:v>Copernicus CDS CMIP6</x:v>
      </x:c>
    </x:row>
    <x:row r="34">
      <x:c r="A34" s="61" t="str">
        <x:v>V31</x:v>
      </x:c>
      <x:c r="B34" s="65" t="str">
        <x:v>Snow depth</x:v>
      </x:c>
      <x:c r="C34" s="65" t="str">
        <x:v>snow_depth</x:v>
      </x:c>
      <x:c r="D34" s="65" t="str">
        <x:v>snd</x:v>
      </x:c>
      <x:c r="E34" s="65" t="str">
        <x:v>Snow / land ice</x:v>
      </x:c>
      <x:c r="F34" s="65" t="str">
        <x:v>Potential extension</x:v>
      </x:c>
      <x:c r="G34" s="66" t="str">
        <x:v>Copernicus CDS CMIP6</x:v>
      </x:c>
    </x:row>
    <x:row r="35">
      <x:c r="A35" s="61" t="str">
        <x:v>V32</x:v>
      </x:c>
      <x:c r="B35" s="65" t="str">
        <x:v>Snowfall flux</x:v>
      </x:c>
      <x:c r="C35" s="65" t="str">
        <x:v>snowfall_flux</x:v>
      </x:c>
      <x:c r="D35" s="65" t="str">
        <x:v>prsn</x:v>
      </x:c>
      <x:c r="E35" s="65" t="str">
        <x:v>Snow / land ice</x:v>
      </x:c>
      <x:c r="F35" s="65" t="str">
        <x:v>Potential extension</x:v>
      </x:c>
      <x:c r="G35" s="66" t="str">
        <x:v>Copernicus CDS CMIP6</x:v>
      </x:c>
    </x:row>
    <x:row r="36">
      <x:c r="A36" s="61" t="str">
        <x:v>V33</x:v>
      </x:c>
      <x:c r="B36" s="65" t="str">
        <x:v>Specific humidity</x:v>
      </x:c>
      <x:c r="C36" s="65" t="str">
        <x:v>specific_humidity</x:v>
      </x:c>
      <x:c r="D36" s="65" t="str">
        <x:v>hus</x:v>
      </x:c>
      <x:c r="E36" s="65" t="str">
        <x:v>Atmosphere</x:v>
      </x:c>
      <x:c r="F36" s="65" t="str">
        <x:v>Not in current case</x:v>
      </x:c>
      <x:c r="G36" s="66" t="str">
        <x:v>Copernicus CDS CMIP6</x:v>
      </x:c>
    </x:row>
    <x:row r="37">
      <x:c r="A37" s="61" t="str">
        <x:v>V34</x:v>
      </x:c>
      <x:c r="B37" s="65" t="str">
        <x:v>Surface air pressure</x:v>
      </x:c>
      <x:c r="C37" s="65" t="str">
        <x:v>surface_air_pressure</x:v>
      </x:c>
      <x:c r="D37" s="65" t="str">
        <x:v>ps</x:v>
      </x:c>
      <x:c r="E37" s="65" t="str">
        <x:v>Atmosphere</x:v>
      </x:c>
      <x:c r="F37" s="65" t="str">
        <x:v>Not in current case</x:v>
      </x:c>
      <x:c r="G37" s="66" t="str">
        <x:v>Copernicus CDS CMIP6</x:v>
      </x:c>
    </x:row>
    <x:row r="38">
      <x:c r="A38" s="61" t="str">
        <x:v>V35</x:v>
      </x:c>
      <x:c r="B38" s="65" t="str">
        <x:v>Surface altitude</x:v>
      </x:c>
      <x:c r="C38" s="65" t="str">
        <x:v>surface_altitude</x:v>
      </x:c>
      <x:c r="D38" s="65" t="str">
        <x:v>orog</x:v>
      </x:c>
      <x:c r="E38" s="65" t="str">
        <x:v>Fixed / geometry</x:v>
      </x:c>
      <x:c r="F38" s="65" t="str">
        <x:v>Preprocessing support</x:v>
      </x:c>
      <x:c r="G38" s="66" t="str">
        <x:v>Copernicus CDS CMIP6</x:v>
      </x:c>
    </x:row>
    <x:row r="39">
      <x:c r="A39" s="61" t="str">
        <x:v>V36</x:v>
      </x:c>
      <x:c r="B39" s="65" t="str">
        <x:v>Surface downward eastward wind stress</x:v>
      </x:c>
      <x:c r="C39" s="65" t="str">
        <x:v>surface_downward_eastward_wind_stress</x:v>
      </x:c>
      <x:c r="D39" s="65" t="str">
        <x:v>tauu</x:v>
      </x:c>
      <x:c r="E39" s="65" t="str">
        <x:v>Atmosphere</x:v>
      </x:c>
      <x:c r="F39" s="65" t="str">
        <x:v>Not in current case</x:v>
      </x:c>
      <x:c r="G39" s="66" t="str">
        <x:v>Copernicus CDS CMIP6</x:v>
      </x:c>
    </x:row>
    <x:row r="40">
      <x:c r="A40" s="61" t="str">
        <x:v>V37</x:v>
      </x:c>
      <x:c r="B40" s="65" t="str">
        <x:v>Surface downward northward wind stress</x:v>
      </x:c>
      <x:c r="C40" s="65" t="str">
        <x:v>surface_downward_northward_wind_stress</x:v>
      </x:c>
      <x:c r="D40" s="65" t="str">
        <x:v>tauv</x:v>
      </x:c>
      <x:c r="E40" s="65" t="str">
        <x:v>Atmosphere</x:v>
      </x:c>
      <x:c r="F40" s="65" t="str">
        <x:v>Not in current case</x:v>
      </x:c>
      <x:c r="G40" s="66" t="str">
        <x:v>Copernicus CDS CMIP6</x:v>
      </x:c>
    </x:row>
    <x:row r="41">
      <x:c r="A41" s="61" t="str">
        <x:v>V38</x:v>
      </x:c>
      <x:c r="B41" s="65" t="str">
        <x:v>Surface downwelling longwave radiation</x:v>
      </x:c>
      <x:c r="C41" s="65" t="str">
        <x:v>surface_downwelling_longwave_radiation</x:v>
      </x:c>
      <x:c r="D41" s="65" t="str">
        <x:v>rlds</x:v>
      </x:c>
      <x:c r="E41" s="65" t="str">
        <x:v>Surface energy</x:v>
      </x:c>
      <x:c r="F41" s="65" t="str">
        <x:v>Current Level 2</x:v>
      </x:c>
      <x:c r="G41" s="66" t="str">
        <x:v>Copernicus CDS CMIP6</x:v>
      </x:c>
    </x:row>
    <x:row r="42">
      <x:c r="A42" s="61" t="str">
        <x:v>V39</x:v>
      </x:c>
      <x:c r="B42" s="65" t="str">
        <x:v>Surface downwelling shortwave radiation</x:v>
      </x:c>
      <x:c r="C42" s="65" t="str">
        <x:v>surface_downwelling_shortwave_radiation</x:v>
      </x:c>
      <x:c r="D42" s="65" t="str">
        <x:v>rsds</x:v>
      </x:c>
      <x:c r="E42" s="65" t="str">
        <x:v>Surface energy</x:v>
      </x:c>
      <x:c r="F42" s="65" t="str">
        <x:v>Current Level 2</x:v>
      </x:c>
      <x:c r="G42" s="66" t="str">
        <x:v>Copernicus CDS CMIP6</x:v>
      </x:c>
    </x:row>
    <x:row r="43">
      <x:c r="A43" s="61" t="str">
        <x:v>V40</x:v>
      </x:c>
      <x:c r="B43" s="65" t="str">
        <x:v>Surface snow amount</x:v>
      </x:c>
      <x:c r="C43" s="65" t="str">
        <x:v>surface_snow_amount</x:v>
      </x:c>
      <x:c r="D43" s="65" t="str">
        <x:v>snw</x:v>
      </x:c>
      <x:c r="E43" s="65" t="str">
        <x:v>Snow / land ice</x:v>
      </x:c>
      <x:c r="F43" s="65" t="str">
        <x:v>Current Level 2</x:v>
      </x:c>
      <x:c r="G43" s="66" t="str">
        <x:v>Copernicus CDS CMIP6</x:v>
      </x:c>
    </x:row>
    <x:row r="44">
      <x:c r="A44" s="61" t="str">
        <x:v>V41</x:v>
      </x:c>
      <x:c r="B44" s="65" t="str">
        <x:v>Surface temperature</x:v>
      </x:c>
      <x:c r="C44" s="65" t="str">
        <x:v>surface_temperature</x:v>
      </x:c>
      <x:c r="D44" s="65" t="str">
        <x:v>ts</x:v>
      </x:c>
      <x:c r="E44" s="65" t="str">
        <x:v>Atmosphere</x:v>
      </x:c>
      <x:c r="F44" s="65" t="str">
        <x:v>Not in current case</x:v>
      </x:c>
      <x:c r="G44" s="66" t="str">
        <x:v>Copernicus CDS CMIP6</x:v>
      </x:c>
    </x:row>
    <x:row r="45">
      <x:c r="A45" s="61" t="str">
        <x:v>V42</x:v>
      </x:c>
      <x:c r="B45" s="65" t="str">
        <x:v>Surface temperature of sea ice</x:v>
      </x:c>
      <x:c r="C45" s="65" t="str">
        <x:v>surface_temperature_of_sea_ice</x:v>
      </x:c>
      <x:c r="D45" s="65" t="str">
        <x:v>tslsi</x:v>
      </x:c>
      <x:c r="E45" s="65" t="str">
        <x:v>Ocean / sea ice</x:v>
      </x:c>
      <x:c r="F45" s="65" t="str">
        <x:v>Not in current case</x:v>
      </x:c>
      <x:c r="G45" s="66" t="str">
        <x:v>Copernicus CDS CMIP6</x:v>
      </x:c>
    </x:row>
    <x:row r="46">
      <x:c r="A46" s="61" t="str">
        <x:v>V43</x:v>
      </x:c>
      <x:c r="B46" s="65" t="str">
        <x:v>Surface upward latent heat flux</x:v>
      </x:c>
      <x:c r="C46" s="65" t="str">
        <x:v>surface_upward_latent_heat_flux</x:v>
      </x:c>
      <x:c r="D46" s="65" t="str">
        <x:v>hfls</x:v>
      </x:c>
      <x:c r="E46" s="65" t="str">
        <x:v>Surface energy</x:v>
      </x:c>
      <x:c r="F46" s="65" t="str">
        <x:v>Not in current case</x:v>
      </x:c>
      <x:c r="G46" s="66" t="str">
        <x:v>Copernicus CDS CMIP6</x:v>
      </x:c>
    </x:row>
    <x:row r="47">
      <x:c r="A47" s="61" t="str">
        <x:v>V44</x:v>
      </x:c>
      <x:c r="B47" s="65" t="str">
        <x:v>Surface upward sensible heat flux</x:v>
      </x:c>
      <x:c r="C47" s="65" t="str">
        <x:v>surface_upward_sensible_heat_flux</x:v>
      </x:c>
      <x:c r="D47" s="65" t="str">
        <x:v>hfss</x:v>
      </x:c>
      <x:c r="E47" s="65" t="str">
        <x:v>Surface energy</x:v>
      </x:c>
      <x:c r="F47" s="65" t="str">
        <x:v>Not in current case</x:v>
      </x:c>
      <x:c r="G47" s="66" t="str">
        <x:v>Copernicus CDS CMIP6</x:v>
      </x:c>
    </x:row>
    <x:row r="48">
      <x:c r="A48" s="61" t="str">
        <x:v>V45</x:v>
      </x:c>
      <x:c r="B48" s="65" t="str">
        <x:v>Surface upwelling longwave radiation</x:v>
      </x:c>
      <x:c r="C48" s="65" t="str">
        <x:v>surface_upwelling_longwave_radiation</x:v>
      </x:c>
      <x:c r="D48" s="65" t="str">
        <x:v>rlus</x:v>
      </x:c>
      <x:c r="E48" s="65" t="str">
        <x:v>Surface energy</x:v>
      </x:c>
      <x:c r="F48" s="65" t="str">
        <x:v>Current Level 2</x:v>
      </x:c>
      <x:c r="G48" s="66" t="str">
        <x:v>Copernicus CDS CMIP6</x:v>
      </x:c>
    </x:row>
    <x:row r="49">
      <x:c r="A49" s="61" t="str">
        <x:v>V46</x:v>
      </x:c>
      <x:c r="B49" s="65" t="str">
        <x:v>Surface upwelling shortwave radiation</x:v>
      </x:c>
      <x:c r="C49" s="65" t="str">
        <x:v>surface_upwelling_shortwave_radiation</x:v>
      </x:c>
      <x:c r="D49" s="65" t="str">
        <x:v>rsus</x:v>
      </x:c>
      <x:c r="E49" s="65" t="str">
        <x:v>Surface energy</x:v>
      </x:c>
      <x:c r="F49" s="65" t="str">
        <x:v>Current Level 2</x:v>
      </x:c>
      <x:c r="G49" s="66" t="str">
        <x:v>Copernicus CDS CMIP6</x:v>
      </x:c>
    </x:row>
    <x:row r="50">
      <x:c r="A50" s="61" t="str">
        <x:v>V47</x:v>
      </x:c>
      <x:c r="B50" s="65" t="str">
        <x:v>TOA incident shortwave radiation</x:v>
      </x:c>
      <x:c r="C50" s="65" t="str">
        <x:v>toa_incident_shortwave_radiation</x:v>
      </x:c>
      <x:c r="D50" s="65" t="str">
        <x:v>rsdt</x:v>
      </x:c>
      <x:c r="E50" s="65" t="str">
        <x:v>Surface energy</x:v>
      </x:c>
      <x:c r="F50" s="65" t="str">
        <x:v>Not in current case</x:v>
      </x:c>
      <x:c r="G50" s="66" t="str">
        <x:v>Copernicus CDS CMIP6</x:v>
      </x:c>
    </x:row>
    <x:row r="51">
      <x:c r="A51" s="61" t="str">
        <x:v>V48</x:v>
      </x:c>
      <x:c r="B51" s="65" t="str">
        <x:v>TOA outgoing longwave radiation</x:v>
      </x:c>
      <x:c r="C51" s="65" t="str">
        <x:v>toa_outgoing_longwave_radiation</x:v>
      </x:c>
      <x:c r="D51" s="65" t="str">
        <x:v>rlut</x:v>
      </x:c>
      <x:c r="E51" s="65" t="str">
        <x:v>Surface energy</x:v>
      </x:c>
      <x:c r="F51" s="65" t="str">
        <x:v>Not in current case</x:v>
      </x:c>
      <x:c r="G51" s="66" t="str">
        <x:v>Copernicus CDS CMIP6</x:v>
      </x:c>
    </x:row>
    <x:row r="52">
      <x:c r="A52" s="61" t="str">
        <x:v>V49</x:v>
      </x:c>
      <x:c r="B52" s="65" t="str">
        <x:v>TOA outgoing shortwave radiation</x:v>
      </x:c>
      <x:c r="C52" s="65" t="str">
        <x:v>toa_outgoing_shortwave_radiation</x:v>
      </x:c>
      <x:c r="D52" s="65" t="str">
        <x:v>rsut</x:v>
      </x:c>
      <x:c r="E52" s="65" t="str">
        <x:v>Surface energy</x:v>
      </x:c>
      <x:c r="F52" s="65" t="str">
        <x:v>Not in current case</x:v>
      </x:c>
      <x:c r="G52" s="66" t="str">
        <x:v>Copernicus CDS CMIP6</x:v>
      </x:c>
    </x:row>
    <x:row r="53">
      <x:c r="A53" s="61" t="str">
        <x:v>V50</x:v>
      </x:c>
      <x:c r="B53" s="65" t="str">
        <x:v>Total cloud cover percentage</x:v>
      </x:c>
      <x:c r="C53" s="65" t="str">
        <x:v>total_cloud_cover_percentage</x:v>
      </x:c>
      <x:c r="D53" s="65" t="str">
        <x:v>clt</x:v>
      </x:c>
      <x:c r="E53" s="65" t="str">
        <x:v>Atmosphere</x:v>
      </x:c>
      <x:c r="F53" s="65" t="str">
        <x:v>Not in current case</x:v>
      </x:c>
      <x:c r="G53" s="66" t="str">
        <x:v>Copernicus CDS CMIP6</x:v>
      </x:c>
    </x:row>
    <x:row r="54">
      <x:c r="A54" s="62" t="str">
        <x:v>V51</x:v>
      </x:c>
      <x:c r="B54" s="67" t="str">
        <x:v>Total runoff</x:v>
      </x:c>
      <x:c r="C54" s="67" t="str">
        <x:v>total_runoff</x:v>
      </x:c>
      <x:c r="D54" s="67" t="str">
        <x:v>mrro</x:v>
      </x:c>
      <x:c r="E54" s="67" t="str">
        <x:v>Terrestrial water</x:v>
      </x:c>
      <x:c r="F54" s="67" t="str">
        <x:v>Core water balance</x:v>
      </x:c>
      <x:c r="G54" s="68" t="str">
        <x:v>Copernicus CDS CMIP6</x:v>
      </x:c>
    </x:row>
  </x:sheetData>
  <x:mergeCells>
    <x:mergeCell ref="A1:G1"/>
  </x:mergeCells>
  <x:conditionalFormatting sqref="F4:F54">
    <x:cfRule type="containsText" dxfId="6" priority="1" operator="containsText" text="Core"/>
    <x:cfRule type="containsText" dxfId="7" priority="2" operator="containsText" text="Level 2"/>
  </x:conditionalFormatting>
  <x:pageMargins left="0.7" right="0.7" top="0.75" bottom="0.75" header="0.3" footer="0.3"/>
  <x:tableParts count="1">
    <x:tablePart xmlns:r="http://schemas.openxmlformats.org/officeDocument/2006/relationships" r:id="R940e15489daa422e"/>
  </x:tableParts>
</x:worksheet>
</file>