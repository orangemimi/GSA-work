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2110e24ac48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a4e70383a54b17"/>
    <x:sheet xmlns:r="http://schemas.openxmlformats.org/officeDocument/2006/relationships" name="P_Q_TRIM" sheetId="2" r:id="R4e7222ef5dab4cae"/>
    <x:sheet xmlns:r="http://schemas.openxmlformats.org/officeDocument/2006/relationships" name="P_Q_RAW" sheetId="3" r:id="R355cbb9bf2714f81"/>
    <x:sheet xmlns:r="http://schemas.openxmlformats.org/officeDocument/2006/relationships" name="ET_Q_RAW" sheetId="4" r:id="R21426a5316cd4654"/>
    <x:sheet xmlns:r="http://schemas.openxmlformats.org/officeDocument/2006/relationships" name="RSDS_Q_RAW" sheetId="5" r:id="R30f415fb11f24b07"/>
    <x:sheet xmlns:r="http://schemas.openxmlformats.org/officeDocument/2006/relationships" name="RLDS_Q_RAW" sheetId="6" r:id="R4cfd018c516b49a5"/>
    <x:sheet xmlns:r="http://schemas.openxmlformats.org/officeDocument/2006/relationships" name="HFLS_Q_RAW" sheetId="7" r:id="R21698f2237684e54"/>
    <x:sheet xmlns:r="http://schemas.openxmlformats.org/officeDocument/2006/relationships" name="HFSS_Q_RAW" sheetId="8" r:id="R521bf4df11c54913"/>
    <x:sheet xmlns:r="http://schemas.openxmlformats.org/officeDocument/2006/relationships" name="HFSS_Q_TRIM" sheetId="9" r:id="R5b70e5dd3361431e"/>
    <x:sheet xmlns:r="http://schemas.openxmlformats.org/officeDocument/2006/relationships" name="P_ET_RAW" sheetId="10" r:id="Rfdf1c6d4a9444051"/>
    <x:sheet xmlns:r="http://schemas.openxmlformats.org/officeDocument/2006/relationships" name="MRSOS_Q_TRIM" sheetId="11" r:id="R91db2bdd09184700"/>
    <x:sheet xmlns:r="http://schemas.openxmlformats.org/officeDocument/2006/relationships" name="RLUS_Q_RAW" sheetId="12" r:id="R1d6b60f681c84659"/>
    <x:sheet xmlns:r="http://schemas.openxmlformats.org/officeDocument/2006/relationships" name="RLUS_Q_TRIM" sheetId="13" r:id="Rbbd7a16ffe4c4684"/>
    <x:sheet xmlns:r="http://schemas.openxmlformats.org/officeDocument/2006/relationships" name="MRROS_Q_TRIM" sheetId="14" r:id="R34894740dd714e48"/>
    <x:sheet xmlns:r="http://schemas.openxmlformats.org/officeDocument/2006/relationships" name="HFLS_Q_TRIM" sheetId="15" r:id="R36e020f8bc7b4fab"/>
    <x:sheet xmlns:r="http://schemas.openxmlformats.org/officeDocument/2006/relationships" name="PRSN_Q_TRIM" sheetId="16" r:id="R46ed670108cd4525"/>
    <x:sheet xmlns:r="http://schemas.openxmlformats.org/officeDocument/2006/relationships" name="Label_Log" sheetId="17" r:id="Rfc3fd336ce2d43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color rgb="FF166534"/>
      <x:name val="Carlito"/>
    </x:font>
    <x:font>
      <x:b/>
      <x:sz val="11"/>
      <x:color rgb="FF8A5A00"/>
      <x:name val="Carlito"/>
    </x:font>
    <x:font>
      <x:b/>
      <x:sz val="11"/>
      <x:color rgb="FF4B5563"/>
      <x:name val="Carlito"/>
    </x:font>
    <x:font>
      <x:b/>
      <x:sz val="11"/>
      <x:color rgb="FF6B21A8"/>
      <x:name val="Carlito"/>
    </x:font>
    <x:font>
      <x:b/>
      <x:sz val="11"/>
      <x:color rgb="FF374151"/>
      <x:name val="Carlito"/>
    </x:font>
    <x:font>
      <x:b/>
      <x:sz val="11"/>
      <x:color rgb="FF9CA3AF"/>
      <x:name val="Carlito"/>
    </x:font>
    <x:font>
      <x:b/>
      <x:sz val="10"/>
      <x:color rgb="FFFFFFFF"/>
      <x:name val="Carlito"/>
    </x:font>
    <x:font>
      <x:b/>
      <x:sz val="11"/>
      <x:color rgb="FF1F2937"/>
      <x:name val="Carlito"/>
    </x:font>
    <x:font>
      <x:sz val="10"/>
      <x:color rgb="FF374151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0F6"/>
      </x:patternFill>
    </x:fill>
    <x:fill>
      <x:patternFill patternType="solid">
        <x:fgColor rgb="FF1F4E78"/>
      </x:patternFill>
    </x:fill>
    <x:fill>
      <x:patternFill patternType="solid">
        <x:fgColor rgb="FFD9F2E3"/>
      </x:patternFill>
    </x:fill>
    <x:fill>
      <x:patternFill patternType="solid">
        <x:fgColor rgb="FFFFF1B8"/>
      </x:patternFill>
    </x:fill>
    <x:fill>
      <x:patternFill patternType="solid">
        <x:fgColor rgb="FFE5E7EB"/>
      </x:patternFill>
    </x:fill>
    <x:fill>
      <x:patternFill patternType="solid">
        <x:fgColor rgb="FFE8DDF7"/>
      </x:patternFill>
    </x:fill>
    <x:fill>
      <x:patternFill patternType="solid">
        <x:fgColor rgb="FFF5F6F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F2E3"/>
      </x:patternFill>
    </x:fill>
    <x:fill>
      <x:patternFill patternType="solid">
        <x:fgColor rgb="FFFFF1B8"/>
      </x:patternFill>
    </x:fill>
    <x:fill>
      <x:patternFill patternType="solid">
        <x:fgColor rgb="FFE5E7EB"/>
      </x:patternFill>
    </x:fill>
    <x:fill>
      <x:patternFill patternType="solid">
        <x:fgColor rgb="FFF5F6F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F2E3"/>
      </x:patternFill>
    </x:fill>
    <x:fill>
      <x:patternFill patternType="solid">
        <x:fgColor rgb="FFFFF1B8"/>
      </x:patternFill>
    </x:fill>
    <x:fill>
      <x:patternFill patternType="solid">
        <x:fgColor rgb="FFE5E7EB"/>
      </x:patternFill>
    </x:fill>
    <x:fill>
      <x:patternFill patternType="solid">
        <x:fgColor rgb="FFF5F6F8"/>
      </x:patternFill>
    </x:fill>
    <x:fill>
      <x:patternFill patternType="solid">
        <x:fgColor rgb="FFFFFFFF"/>
      </x:patternFill>
    </x:fill>
  </x:fills>
  <x:borders count="13">
    <x:border/>
    <x:border>
      <x:right style="thin">
        <x:color rgb="FFD7DEE7"/>
      </x:right>
    </x:border>
    <x:border>
      <x:left style="thin">
        <x:color rgb="FFD7DEE7"/>
      </x:left>
    </x:border>
    <x:border>
      <x:right style="thin">
        <x:color rgb="FFE1E6EC"/>
      </x:right>
      <x:bottom style="thin">
        <x:color rgb="FFE1E6EC"/>
      </x:bottom>
    </x:border>
    <x:border>
      <x:left style="thin">
        <x:color rgb="FFE1E6EC"/>
      </x:left>
      <x:right style="thin">
        <x:color rgb="FFE1E6EC"/>
      </x:right>
      <x:bottom style="thin">
        <x:color rgb="FFE1E6EC"/>
      </x:bottom>
    </x:border>
    <x:border>
      <x:left style="thin">
        <x:color rgb="FFE1E6EC"/>
      </x:left>
      <x:bottom style="thin">
        <x:color rgb="FFE1E6EC"/>
      </x:bottom>
    </x:border>
    <x:border>
      <x:right style="thin">
        <x:color rgb="FFE1E6EC"/>
      </x:right>
      <x:top style="thin">
        <x:color rgb="FFE1E6EC"/>
      </x:top>
      <x:bottom style="thin">
        <x:color rgb="FFE1E6EC"/>
      </x:bottom>
    </x:border>
    <x:border>
      <x:left style="thin">
        <x:color rgb="FFE1E6EC"/>
      </x:left>
      <x:right style="thin">
        <x:color rgb="FFE1E6EC"/>
      </x:right>
      <x:top style="thin">
        <x:color rgb="FFE1E6EC"/>
      </x:top>
      <x:bottom style="thin">
        <x:color rgb="FFE1E6EC"/>
      </x:bottom>
    </x:border>
    <x:border>
      <x:left style="thin">
        <x:color rgb="FFE1E6EC"/>
      </x:left>
      <x:top style="thin">
        <x:color rgb="FFE1E6EC"/>
      </x:top>
      <x:bottom style="thin">
        <x:color rgb="FFE1E6EC"/>
      </x:bottom>
    </x:border>
    <x:border>
      <x:right style="thin">
        <x:color rgb="FFE1E6EC"/>
      </x:right>
      <x:top style="thin">
        <x:color rgb="FFE1E6EC"/>
      </x:top>
    </x:border>
    <x:border>
      <x:left style="thin">
        <x:color rgb="FFE1E6EC"/>
      </x:left>
      <x:right style="thin">
        <x:color rgb="FFE1E6EC"/>
      </x:right>
      <x:top style="thin">
        <x:color rgb="FFE1E6EC"/>
      </x:top>
    </x:border>
    <x:border>
      <x:left style="thin">
        <x:color rgb="FFE1E6EC"/>
      </x:left>
      <x:top style="thin">
        <x:color rgb="FFE1E6EC"/>
      </x:top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</x:borders>
  <x:cellStyleXfs count="1">
    <x:xf numFmtId="0" fontId="0" fillId="0" borderId="0"/>
  </x:cellStyleXfs>
  <x:cellXfs count="1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2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2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" xfId="0" applyNumberFormat="1" applyFont="1" applyFill="1" applyBorder="1"/>
    <x:xf numFmtId="0" fontId="8" fillId="9" borderId="2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2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/>
    <x:xf numFmtId="0" fontId="10" fillId="4" borderId="12" xfId="0" applyNumberFormat="1" applyFont="1" applyFill="1" applyBorder="1"/>
    <x:xf numFmtId="0" fontId="10" fillId="4" borderId="12" xfId="0" applyNumberFormat="1" applyFont="1" applyFill="1" applyBorder="1" applyAlignment="1">
      <x:alignment wrapText="1"/>
    </x:xf>
    <x:xf numFmtId="0" fontId="10" fillId="4" borderId="12" xfId="0" applyNumberFormat="1" applyFont="1" applyFill="1" applyBorder="1" applyAlignment="1">
      <x:alignment horizontal="center" wrapText="1"/>
    </x:xf>
    <x:xf numFmtId="0" fontId="10" fillId="4" borderId="12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/>
    <x:xf numFmtId="0" fontId="11" fillId="3" borderId="12" xfId="0" applyNumberFormat="1" applyFont="1" applyFill="1" applyBorder="1"/>
    <x:xf numFmtId="0" fontId="11" fillId="3" borderId="12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2" fillId="0" borderId="12" xfId="0" applyNumberFormat="1" applyFont="1" applyFill="1" applyBorder="1"/>
    <x:xf numFmtId="0" fontId="12" fillId="0" borderId="12" xfId="0" applyNumberFormat="1" applyFont="1" applyFill="1" applyBorder="1" applyAlignment="1">
      <x:alignment wrapText="1"/>
    </x:xf>
    <x:xf numFmtId="0" fontId="12" fillId="0" borderId="12" xfId="0" applyNumberFormat="1" applyFont="1" applyFill="1" applyBorder="1" applyAlignment="1">
      <x:alignment horizontal="center" wrapText="1"/>
    </x:xf>
    <x:xf numFmtId="0" fontId="12" fillId="0" borderId="12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1" xfId="0" applyNumberFormat="1" applyFont="1" applyFill="1" applyBorder="1"/>
    <x:xf numFmtId="0" fontId="4" fillId="12" borderId="2" xfId="0" applyNumberFormat="1" applyFont="1" applyFill="1" applyBorder="1"/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1" xfId="0" applyNumberFormat="1" applyFont="1" applyFill="1" applyBorder="1"/>
    <x:xf numFmtId="0" fontId="5" fillId="13" borderId="2" xfId="0" applyNumberFormat="1" applyFont="1" applyFill="1" applyBorder="1"/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1" xfId="0" applyNumberFormat="1" applyFont="1" applyFill="1" applyBorder="1"/>
    <x:xf numFmtId="0" fontId="6" fillId="14" borderId="2" xfId="0" applyNumberFormat="1" applyFont="1" applyFill="1" applyBorder="1"/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1" xfId="0" applyNumberFormat="1" applyFont="1" applyFill="1" applyBorder="1"/>
    <x:xf numFmtId="0" fontId="8" fillId="15" borderId="2" xfId="0" applyNumberFormat="1" applyFont="1" applyFill="1" applyBorder="1"/>
    <x:xf numFmtId="0" fontId="0" fillId="16" borderId="0" xfId="0" applyNumberFormat="1" applyFont="1" applyFill="1" applyBorder="1"/>
    <x:xf numFmtId="0" fontId="9" fillId="16" borderId="0" xfId="0" applyNumberFormat="1" applyFont="1" applyFill="1" applyBorder="1"/>
    <x:xf numFmtId="0" fontId="9" fillId="16" borderId="1" xfId="0" applyNumberFormat="1" applyFont="1" applyFill="1" applyBorder="1"/>
    <x:xf numFmtId="0" fontId="9" fillId="16" borderId="2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1" xfId="0" applyNumberFormat="1" applyFont="1" applyFill="1" applyBorder="1"/>
    <x:xf numFmtId="0" fontId="4" fillId="18" borderId="2" xfId="0" applyNumberFormat="1" applyFont="1" applyFill="1" applyBorder="1"/>
    <x:xf numFmtId="0" fontId="0" fillId="19" borderId="0" xfId="0" applyNumberFormat="1" applyFont="1" applyFill="1" applyBorder="1"/>
    <x:xf numFmtId="0" fontId="5" fillId="19" borderId="0" xfId="0" applyNumberFormat="1" applyFont="1" applyFill="1" applyBorder="1"/>
    <x:xf numFmtId="0" fontId="5" fillId="19" borderId="1" xfId="0" applyNumberFormat="1" applyFont="1" applyFill="1" applyBorder="1"/>
    <x:xf numFmtId="0" fontId="5" fillId="19" borderId="2" xfId="0" applyNumberFormat="1" applyFont="1" applyFill="1" applyBorder="1"/>
    <x:xf numFmtId="0" fontId="0" fillId="20" borderId="0" xfId="0" applyNumberFormat="1" applyFont="1" applyFill="1" applyBorder="1"/>
    <x:xf numFmtId="0" fontId="6" fillId="20" borderId="0" xfId="0" applyNumberFormat="1" applyFont="1" applyFill="1" applyBorder="1"/>
    <x:xf numFmtId="0" fontId="6" fillId="20" borderId="1" xfId="0" applyNumberFormat="1" applyFont="1" applyFill="1" applyBorder="1"/>
    <x:xf numFmtId="0" fontId="6" fillId="20" borderId="2" xfId="0" applyNumberFormat="1" applyFont="1" applyFill="1" applyBorder="1"/>
    <x:xf numFmtId="0" fontId="0" fillId="21" borderId="0" xfId="0" applyNumberFormat="1" applyFont="1" applyFill="1" applyBorder="1"/>
    <x:xf numFmtId="0" fontId="8" fillId="21" borderId="0" xfId="0" applyNumberFormat="1" applyFont="1" applyFill="1" applyBorder="1"/>
    <x:xf numFmtId="0" fontId="8" fillId="21" borderId="1" xfId="0" applyNumberFormat="1" applyFont="1" applyFill="1" applyBorder="1"/>
    <x:xf numFmtId="0" fontId="8" fillId="21" borderId="2" xfId="0" applyNumberFormat="1" applyFont="1" applyFill="1" applyBorder="1"/>
    <x:xf numFmtId="0" fontId="0" fillId="22" borderId="0" xfId="0" applyNumberFormat="1" applyFont="1" applyFill="1" applyBorder="1"/>
    <x:xf numFmtId="0" fontId="9" fillId="22" borderId="0" xfId="0" applyNumberFormat="1" applyFont="1" applyFill="1" applyBorder="1"/>
    <x:xf numFmtId="0" fontId="9" fillId="22" borderId="1" xfId="0" applyNumberFormat="1" applyFont="1" applyFill="1" applyBorder="1"/>
    <x:xf numFmtId="0" fontId="9" fillId="22" borderId="2" xfId="0" applyNumberFormat="1" applyFont="1" applyFill="1" applyBorder="1"/>
    <x:xf numFmtId="0" fontId="3" fillId="17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55"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6B21A8"/>
      </x:font>
      <x:fill>
        <x:patternFill>
          <x:bgColor rgb="FFE8DDF7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>
          <x:bgColor rgb="FFD9F2E3"/>
        </x:patternFill>
      </x:fill>
    </x:dxf>
    <x:dxf>
      <x:font>
        <x:b/>
        <x:color rgb="FF8A5A00"/>
      </x:font>
      <x:fill>
        <x:patternFill>
          <x:bgColor rgb="FFFFF1B8"/>
        </x:patternFill>
      </x:fill>
    </x:dxf>
    <x:dxf>
      <x:font>
        <x:b/>
        <x:color rgb="FF4B5563"/>
      </x:font>
      <x:fill>
        <x:patternFill>
          <x:bgColor rgb="FFE5E7EB"/>
        </x:patternFill>
      </x:fill>
    </x:dxf>
    <x:dxf>
      <x:font>
        <x:b/>
        <x:color rgb="FF374151"/>
      </x:font>
      <x:fill>
        <x:patternFill>
          <x:bgColor rgb="FFF5F6F8"/>
        </x:patternFill>
      </x:fill>
    </x:dxf>
    <x:dxf>
      <x:font>
        <x:color rgb="FF9CA3AF"/>
      </x:font>
      <x:fill>
        <x:patternFill>
          <x:bgColor rgb="FFFFFFFF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8A5A00"/>
      </x:font>
      <x:fill>
        <x:patternFill patternType="solid">
          <x:bgColor rgb="FFFFF1B8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b/>
        <x:color rgb="FF374151"/>
      </x:font>
      <x:fill>
        <x:patternFill patternType="solid">
          <x:bgColor rgb="FFF5F6F8"/>
        </x:patternFill>
      </x:fill>
    </x:dxf>
    <x:dxf>
      <x:font>
        <x:color rgb="FF9CA3AF"/>
      </x:font>
      <x:fill>
        <x:patternFill patternType="solid">
          <x:bgColor rgb="FFFFFFFF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8A5A00"/>
      </x:font>
      <x:fill>
        <x:patternFill patternType="solid">
          <x:bgColor rgb="FFFFF1B8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b/>
        <x:color rgb="FF374151"/>
      </x:font>
      <x:fill>
        <x:patternFill patternType="solid">
          <x:bgColor rgb="FFF5F6F8"/>
        </x:patternFill>
      </x:fill>
    </x:dxf>
    <x:dxf>
      <x:font>
        <x:color rgb="FF9CA3AF"/>
      </x:font>
      <x:fill>
        <x:patternFill patternType="solid">
          <x:bgColor rgb="FFFFFFFF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8A5A00"/>
      </x:font>
      <x:fill>
        <x:patternFill patternType="solid">
          <x:bgColor rgb="FFFFF1B8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b/>
        <x:color rgb="FF374151"/>
      </x:font>
      <x:fill>
        <x:patternFill patternType="solid">
          <x:bgColor rgb="FFF5F6F8"/>
        </x:patternFill>
      </x:fill>
    </x:dxf>
    <x:dxf>
      <x:font>
        <x:color rgb="FF9CA3AF"/>
      </x:font>
      <x:fill>
        <x:patternFill patternType="solid">
          <x:bgColor rgb="FFFFFFFF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8A5A00"/>
      </x:font>
      <x:fill>
        <x:patternFill patternType="solid">
          <x:bgColor rgb="FFFFF1B8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b/>
        <x:color rgb="FF374151"/>
      </x:font>
      <x:fill>
        <x:patternFill patternType="solid">
          <x:bgColor rgb="FFF5F6F8"/>
        </x:patternFill>
      </x:fill>
    </x:dxf>
    <x:dxf>
      <x:font>
        <x:color rgb="FF9CA3AF"/>
      </x:font>
      <x:fill>
        <x:patternFill patternType="solid">
          <x:bgColor rgb="FFFFFFFF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8A5A00"/>
      </x:font>
      <x:fill>
        <x:patternFill patternType="solid">
          <x:bgColor rgb="FFFFF1B8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b/>
        <x:color rgb="FF374151"/>
      </x:font>
      <x:fill>
        <x:patternFill patternType="solid">
          <x:bgColor rgb="FFF5F6F8"/>
        </x:patternFill>
      </x:fill>
    </x:dxf>
    <x:dxf>
      <x:font>
        <x:color rgb="FF9CA3AF"/>
      </x:font>
      <x:fill>
        <x:patternFill patternType="solid">
          <x:bgColor rgb="FFFFFFFF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8A5A00"/>
      </x:font>
      <x:fill>
        <x:patternFill patternType="solid">
          <x:bgColor rgb="FFFFF1B8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b/>
        <x:color rgb="FF374151"/>
      </x:font>
      <x:fill>
        <x:patternFill patternType="solid">
          <x:bgColor rgb="FFF5F6F8"/>
        </x:patternFill>
      </x:fill>
    </x:dxf>
    <x:dxf>
      <x:font>
        <x:color rgb="FF9CA3AF"/>
      </x:font>
      <x:fill>
        <x:patternFill patternType="solid">
          <x:bgColor rgb="FFFFFFFF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8A5A00"/>
      </x:font>
      <x:fill>
        <x:patternFill patternType="solid">
          <x:bgColor rgb="FFFFF1B8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b/>
        <x:color rgb="FF374151"/>
      </x:font>
      <x:fill>
        <x:patternFill patternType="solid">
          <x:bgColor rgb="FFF5F6F8"/>
        </x:patternFill>
      </x:fill>
    </x:dxf>
    <x:dxf>
      <x:font>
        <x:color rgb="FF9CA3AF"/>
      </x:font>
      <x:fill>
        <x:patternFill patternType="solid">
          <x:bgColor rgb="FFFFFFFF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8A5A00"/>
      </x:font>
      <x:fill>
        <x:patternFill patternType="solid">
          <x:bgColor rgb="FFFFF1B8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b/>
        <x:color rgb="FF374151"/>
      </x:font>
      <x:fill>
        <x:patternFill patternType="solid">
          <x:bgColor rgb="FFF5F6F8"/>
        </x:patternFill>
      </x:fill>
    </x:dxf>
    <x:dxf>
      <x:font>
        <x:color rgb="FF9CA3AF"/>
      </x:font>
      <x:fill>
        <x:patternFill patternType="solid">
          <x:bgColor rgb="FFFFFFFF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8A5A00"/>
      </x:font>
      <x:fill>
        <x:patternFill patternType="solid">
          <x:bgColor rgb="FFFFF1B8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b/>
        <x:color rgb="FF374151"/>
      </x:font>
      <x:fill>
        <x:patternFill patternType="solid">
          <x:bgColor rgb="FFF5F6F8"/>
        </x:patternFill>
      </x:fill>
    </x:dxf>
    <x:dxf>
      <x:font>
        <x:color rgb="FF9CA3AF"/>
      </x:font>
      <x:fill>
        <x:patternFill patternType="solid">
          <x:bgColor rgb="FFFFFFFF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8A5A00"/>
      </x:font>
      <x:fill>
        <x:patternFill patternType="solid">
          <x:bgColor rgb="FFFFF1B8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b/>
        <x:color rgb="FF374151"/>
      </x:font>
      <x:fill>
        <x:patternFill patternType="solid">
          <x:bgColor rgb="FFF5F6F8"/>
        </x:patternFill>
      </x:fill>
    </x:dxf>
    <x:dxf>
      <x:font>
        <x:color rgb="FF9CA3AF"/>
      </x:font>
      <x:fill>
        <x:patternFill patternType="solid">
          <x:bgColor rgb="FFFFFFFF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8A5A00"/>
      </x:font>
      <x:fill>
        <x:patternFill patternType="solid">
          <x:bgColor rgb="FFFFF1B8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b/>
        <x:color rgb="FF374151"/>
      </x:font>
      <x:fill>
        <x:patternFill patternType="solid">
          <x:bgColor rgb="FFF5F6F8"/>
        </x:patternFill>
      </x:fill>
    </x:dxf>
    <x:dxf>
      <x:font>
        <x:color rgb="FF9CA3AF"/>
      </x:font>
      <x:fill>
        <x:patternFill patternType="solid">
          <x:bgColor rgb="FFFFFFFF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8A5A00"/>
      </x:font>
      <x:fill>
        <x:patternFill patternType="solid">
          <x:bgColor rgb="FFFFF1B8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b/>
        <x:color rgb="FF374151"/>
      </x:font>
      <x:fill>
        <x:patternFill patternType="solid">
          <x:bgColor rgb="FFF5F6F8"/>
        </x:patternFill>
      </x:fill>
    </x:dxf>
    <x:dxf>
      <x:font>
        <x:color rgb="FF9CA3AF"/>
      </x:font>
      <x:fill>
        <x:patternFill patternType="solid">
          <x:bgColor rgb="FFFFFFFF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8A5A00"/>
      </x:font>
      <x:fill>
        <x:patternFill patternType="solid">
          <x:bgColor rgb="FFFFF1B8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b/>
        <x:color rgb="FF374151"/>
      </x:font>
      <x:fill>
        <x:patternFill patternType="solid">
          <x:bgColor rgb="FFF5F6F8"/>
        </x:patternFill>
      </x:fill>
    </x:dxf>
    <x:dxf>
      <x:font>
        <x:color rgb="FF9CA3AF"/>
      </x:font>
      <x:fill>
        <x:patternFill patternType="solid">
          <x:bgColor rgb="FFFFFFFF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8A5A00"/>
      </x:font>
      <x:fill>
        <x:patternFill patternType="solid">
          <x:bgColor rgb="FFFFF1B8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b/>
        <x:color rgb="FF374151"/>
      </x:font>
      <x:fill>
        <x:patternFill patternType="solid">
          <x:bgColor rgb="FFF5F6F8"/>
        </x:patternFill>
      </x:fill>
    </x:dxf>
    <x:dxf>
      <x:font>
        <x:color rgb="FF9CA3AF"/>
      </x:font>
      <x:fill>
        <x:patternFill patternType="solid">
          <x:bgColor rgb="FFFFFFFF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8A5A00"/>
      </x:font>
      <x:fill>
        <x:patternFill patternType="solid">
          <x:bgColor rgb="FFFFF1B8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b/>
        <x:color rgb="FF374151"/>
      </x:font>
      <x:fill>
        <x:patternFill patternType="solid">
          <x:bgColor rgb="FFF5F6F8"/>
        </x:patternFill>
      </x:fill>
    </x:dxf>
    <x:dxf>
      <x:font>
        <x:color rgb="FF9CA3AF"/>
      </x:font>
      <x:fill>
        <x:patternFill patternType="solid">
          <x:bgColor rgb="FFFFFFFF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8A5A00"/>
      </x:font>
      <x:fill>
        <x:patternFill patternType="solid">
          <x:bgColor rgb="FFFFF1B8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b/>
        <x:color rgb="FF374151"/>
      </x:font>
      <x:fill>
        <x:patternFill patternType="solid">
          <x:bgColor rgb="FFF5F6F8"/>
        </x:patternFill>
      </x:fill>
    </x:dxf>
    <x:dxf>
      <x:font>
        <x:color rgb="FF9CA3AF"/>
      </x:font>
      <x:fill>
        <x:patternFill patternType="solid"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d5c7dcfb8a47f7" /><Relationship Type="http://schemas.openxmlformats.org/officeDocument/2006/relationships/theme" Target="/xl/theme/theme1.xml" Id="R45dd90b869dd4db0" /><Relationship Type="http://schemas.openxmlformats.org/officeDocument/2006/relationships/sharedStrings" Target="/xl/sharedStrings.xml" Id="Rde38e50247524b9e" /><Relationship Type="http://schemas.openxmlformats.org/officeDocument/2006/relationships/worksheet" Target="/xl/worksheets/sheet1.xml" Id="R0da4e70383a54b17" /><Relationship Type="http://schemas.openxmlformats.org/officeDocument/2006/relationships/worksheet" Target="/xl/worksheets/sheet2.xml" Id="R4e7222ef5dab4cae" /><Relationship Type="http://schemas.openxmlformats.org/officeDocument/2006/relationships/worksheet" Target="/xl/worksheets/sheet3.xml" Id="R355cbb9bf2714f81" /><Relationship Type="http://schemas.openxmlformats.org/officeDocument/2006/relationships/worksheet" Target="/xl/worksheets/sheet4.xml" Id="R21426a5316cd4654" /><Relationship Type="http://schemas.openxmlformats.org/officeDocument/2006/relationships/worksheet" Target="/xl/worksheets/sheet5.xml" Id="R30f415fb11f24b07" /><Relationship Type="http://schemas.openxmlformats.org/officeDocument/2006/relationships/worksheet" Target="/xl/worksheets/sheet6.xml" Id="R4cfd018c516b49a5" /><Relationship Type="http://schemas.openxmlformats.org/officeDocument/2006/relationships/worksheet" Target="/xl/worksheets/sheet7.xml" Id="R21698f2237684e54" /><Relationship Type="http://schemas.openxmlformats.org/officeDocument/2006/relationships/worksheet" Target="/xl/worksheets/sheet8.xml" Id="R521bf4df11c54913" /><Relationship Type="http://schemas.openxmlformats.org/officeDocument/2006/relationships/worksheet" Target="/xl/worksheets/sheet9.xml" Id="R5b70e5dd3361431e" /><Relationship Type="http://schemas.openxmlformats.org/officeDocument/2006/relationships/worksheet" Target="/xl/worksheets/sheet10.xml" Id="Rfdf1c6d4a9444051" /><Relationship Type="http://schemas.openxmlformats.org/officeDocument/2006/relationships/worksheet" Target="/xl/worksheets/sheet11.xml" Id="R91db2bdd09184700" /><Relationship Type="http://schemas.openxmlformats.org/officeDocument/2006/relationships/worksheet" Target="/xl/worksheets/sheet12.xml" Id="R1d6b60f681c84659" /><Relationship Type="http://schemas.openxmlformats.org/officeDocument/2006/relationships/worksheet" Target="/xl/worksheets/sheet13.xml" Id="Rbbd7a16ffe4c4684" /><Relationship Type="http://schemas.openxmlformats.org/officeDocument/2006/relationships/worksheet" Target="/xl/worksheets/sheet14.xml" Id="R34894740dd714e48" /><Relationship Type="http://schemas.openxmlformats.org/officeDocument/2006/relationships/worksheet" Target="/xl/worksheets/sheet15.xml" Id="R36e020f8bc7b4fab" /><Relationship Type="http://schemas.openxmlformats.org/officeDocument/2006/relationships/worksheet" Target="/xl/worksheets/sheet16.xml" Id="R46ed670108cd4525" /><Relationship Type="http://schemas.openxmlformats.org/officeDocument/2006/relationships/worksheet" Target="/xl/worksheets/sheet17.xml" Id="Rfc3fd336ce2d43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12.220000267028809" hidden="0" customWidth="1"/>
    <x:col min="3" max="3" width="10" hidden="0" customWidth="1"/>
    <x:col min="4" max="4" width="9.109999656677246" hidden="0" customWidth="1"/>
    <x:col min="5" max="5" width="9.109999656677246" hidden="0" customWidth="1"/>
    <x:col min="6" max="6" width="9.109999656677246" hidden="0" customWidth="1"/>
    <x:col min="7" max="7" width="9.109999656677246" hidden="0" customWidth="1"/>
    <x:col min="8" max="8" width="9.109999656677246" hidden="0" customWidth="1"/>
    <x:col min="9" max="9" width="9.109999656677246" hidden="0" customWidth="1"/>
    <x:col min="10" max="10" width="8.670000076293945" hidden="0" customWidth="1"/>
  </x:cols>
  <x:sheetData>
    <x:row r="1" ht="25.5" customHeight="1">
      <x:c r="A1" s="4" t="str">
        <x:v>CMIP6 Branch Manual Label Workbook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人工判断优先；算法输出 S:/K: 不自动写入人工标签。所有矩阵均为 5 个模型 × 6 个区域。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>
      <x:c r="A4" s="119" t="str">
        <x:v>标签</x:v>
      </x:c>
      <x:c r="B4" s="119" t="str">
        <x:v>含义</x:v>
      </x:c>
    </x:row>
    <x:row r="5">
      <x:c r="A5" s="122" t="str">
        <x:v>Branch</x:v>
      </x:c>
      <x:c r="B5" s="123" t="str">
        <x:v>明确分支</x:v>
      </x:c>
    </x:row>
    <x:row r="6">
      <x:c r="A6" s="126" t="str">
        <x:v>Candidate</x:v>
      </x:c>
      <x:c r="B6" s="127" t="str">
        <x:v>局部分支或较弱证据</x:v>
      </x:c>
    </x:row>
    <x:row r="7">
      <x:c r="A7" s="130" t="str">
        <x:v>Uncertain</x:v>
      </x:c>
      <x:c r="B7" s="131" t="str">
        <x:v>存在冲突或尚未最终确认</x:v>
      </x:c>
    </x:row>
    <x:row r="8">
      <x:c r="A8" s="134" t="str">
        <x:v>No branch</x:v>
      </x:c>
      <x:c r="B8" s="135" t="str">
        <x:v>明确不是分支</x:v>
      </x:c>
    </x:row>
    <x:row r="9">
      <x:c r="A9" s="138" t="str">
        <x:v>待标注</x:v>
      </x:c>
      <x:c r="B9" s="139" t="str">
        <x:v>尚无人工判断</x:v>
      </x:c>
    </x:row>
    <x:row r="10">
      <x:c r="A10"/>
      <x:c r="B10"/>
    </x:row>
    <x:row r="12">
      <x:c r="A12" s="140" t="str">
        <x:v>Worksheet</x:v>
      </x:c>
      <x:c r="B12" s="140" t="str">
        <x:v>Pair</x:v>
      </x:c>
      <x:c r="C12" s="140" t="str">
        <x:v>Version</x:v>
      </x:c>
      <x:c r="D12" s="140" t="str">
        <x:v>Annotated</x:v>
      </x:c>
      <x:c r="E12" s="140" t="str">
        <x:v>Branch</x:v>
      </x:c>
      <x:c r="F12" s="140" t="str">
        <x:v>Candidate</x:v>
      </x:c>
      <x:c r="G12" s="140" t="str">
        <x:v>Uncertain</x:v>
      </x:c>
      <x:c r="H12" s="140" t="str">
        <x:v>No branch</x:v>
      </x:c>
      <x:c r="I12" s="140" t="str">
        <x:v>待标注</x:v>
      </x:c>
      <x:c r="J12"/>
    </x:row>
    <x:row r="13">
      <x:c r="A13" s="46" t="str">
        <x:v>P_Q_TRIM</x:v>
      </x:c>
      <x:c r="B13" s="47" t="str">
        <x:v>P → Q</x:v>
      </x:c>
      <x:c r="C13" s="47" t="str">
        <x:v>TRIMMED</x:v>
      </x:c>
      <x:c r="D13" s="55" t="n">
        <x:f>30-COUNTIF('P_Q_TRIM'!B5:G9,"待标注")</x:f>
        <x:v>30</x:v>
      </x:c>
      <x:c r="E13" s="55" t="n">
        <x:f>COUNTIF('P_Q_TRIM'!B5:G9,"Branch")</x:f>
        <x:v>3</x:v>
      </x:c>
      <x:c r="F13" s="55" t="n">
        <x:f>COUNTIF('P_Q_TRIM'!B5:G9,"Candidate")</x:f>
        <x:v>0</x:v>
      </x:c>
      <x:c r="G13" s="55" t="n">
        <x:f>COUNTIF('P_Q_TRIM'!B5:G9,"Uncertain")</x:f>
        <x:v>3</x:v>
      </x:c>
      <x:c r="H13" s="55" t="n">
        <x:f>COUNTIF('P_Q_TRIM'!B5:G9,"No branch")</x:f>
        <x:v>24</x:v>
      </x:c>
      <x:c r="I13" s="56" t="n">
        <x:f>COUNTIF('P_Q_TRIM'!B5:G9,"待标注")</x:f>
        <x:v>0</x:v>
      </x:c>
      <x:c r="J13"/>
    </x:row>
    <x:row r="14">
      <x:c r="A14" s="49" t="str">
        <x:v>P_Q_RAW</x:v>
      </x:c>
      <x:c r="B14" s="50" t="str">
        <x:v>P → Q</x:v>
      </x:c>
      <x:c r="C14" s="50" t="str">
        <x:v>RAW</x:v>
      </x:c>
      <x:c r="D14" s="57" t="n">
        <x:f>30-COUNTIF('P_Q_RAW'!B5:G9,"待标注")</x:f>
        <x:v>3</x:v>
      </x:c>
      <x:c r="E14" s="57" t="n">
        <x:f>COUNTIF('P_Q_RAW'!B5:G9,"Branch")</x:f>
        <x:v>2</x:v>
      </x:c>
      <x:c r="F14" s="57" t="n">
        <x:f>COUNTIF('P_Q_RAW'!B5:G9,"Candidate")</x:f>
        <x:v>0</x:v>
      </x:c>
      <x:c r="G14" s="57" t="n">
        <x:f>COUNTIF('P_Q_RAW'!B5:G9,"Uncertain")</x:f>
        <x:v>0</x:v>
      </x:c>
      <x:c r="H14" s="57" t="n">
        <x:f>COUNTIF('P_Q_RAW'!B5:G9,"No branch")</x:f>
        <x:v>1</x:v>
      </x:c>
      <x:c r="I14" s="58" t="n">
        <x:f>COUNTIF('P_Q_RAW'!B5:G9,"待标注")</x:f>
        <x:v>27</x:v>
      </x:c>
      <x:c r="J14"/>
    </x:row>
    <x:row r="15">
      <x:c r="A15" s="49" t="str">
        <x:v>ET_Q_RAW</x:v>
      </x:c>
      <x:c r="B15" s="50" t="str">
        <x:v>ET → Q</x:v>
      </x:c>
      <x:c r="C15" s="50" t="str">
        <x:v>RAW</x:v>
      </x:c>
      <x:c r="D15" s="57" t="n">
        <x:f>30-COUNTIF('ET_Q_RAW'!B5:G9,"待标注")</x:f>
        <x:v>1</x:v>
      </x:c>
      <x:c r="E15" s="57" t="n">
        <x:f>COUNTIF('ET_Q_RAW'!B5:G9,"Branch")</x:f>
        <x:v>0</x:v>
      </x:c>
      <x:c r="F15" s="57" t="n">
        <x:f>COUNTIF('ET_Q_RAW'!B5:G9,"Candidate")</x:f>
        <x:v>0</x:v>
      </x:c>
      <x:c r="G15" s="57" t="n">
        <x:f>COUNTIF('ET_Q_RAW'!B5:G9,"Uncertain")</x:f>
        <x:v>0</x:v>
      </x:c>
      <x:c r="H15" s="57" t="n">
        <x:f>COUNTIF('ET_Q_RAW'!B5:G9,"No branch")</x:f>
        <x:v>1</x:v>
      </x:c>
      <x:c r="I15" s="58" t="n">
        <x:f>COUNTIF('ET_Q_RAW'!B5:G9,"待标注")</x:f>
        <x:v>29</x:v>
      </x:c>
      <x:c r="J15"/>
    </x:row>
    <x:row r="16">
      <x:c r="A16" s="49" t="str">
        <x:v>RSDS_Q_RAW</x:v>
      </x:c>
      <x:c r="B16" s="50" t="str">
        <x:v>rsds → Q</x:v>
      </x:c>
      <x:c r="C16" s="50" t="str">
        <x:v>RAW</x:v>
      </x:c>
      <x:c r="D16" s="57" t="n">
        <x:f>30-COUNTIF('RSDS_Q_RAW'!B5:G9,"待标注")</x:f>
        <x:v>1</x:v>
      </x:c>
      <x:c r="E16" s="57" t="n">
        <x:f>COUNTIF('RSDS_Q_RAW'!B5:G9,"Branch")</x:f>
        <x:v>0</x:v>
      </x:c>
      <x:c r="F16" s="57" t="n">
        <x:f>COUNTIF('RSDS_Q_RAW'!B5:G9,"Candidate")</x:f>
        <x:v>0</x:v>
      </x:c>
      <x:c r="G16" s="57" t="n">
        <x:f>COUNTIF('RSDS_Q_RAW'!B5:G9,"Uncertain")</x:f>
        <x:v>0</x:v>
      </x:c>
      <x:c r="H16" s="57" t="n">
        <x:f>COUNTIF('RSDS_Q_RAW'!B5:G9,"No branch")</x:f>
        <x:v>1</x:v>
      </x:c>
      <x:c r="I16" s="58" t="n">
        <x:f>COUNTIF('RSDS_Q_RAW'!B5:G9,"待标注")</x:f>
        <x:v>29</x:v>
      </x:c>
      <x:c r="J16"/>
    </x:row>
    <x:row r="17">
      <x:c r="A17" s="49" t="str">
        <x:v>RLDS_Q_RAW</x:v>
      </x:c>
      <x:c r="B17" s="50" t="str">
        <x:v>rlds → Q</x:v>
      </x:c>
      <x:c r="C17" s="50" t="str">
        <x:v>RAW</x:v>
      </x:c>
      <x:c r="D17" s="57" t="n">
        <x:f>30-COUNTIF('RLDS_Q_RAW'!B5:G9,"待标注")</x:f>
        <x:v>1</x:v>
      </x:c>
      <x:c r="E17" s="57" t="n">
        <x:f>COUNTIF('RLDS_Q_RAW'!B5:G9,"Branch")</x:f>
        <x:v>0</x:v>
      </x:c>
      <x:c r="F17" s="57" t="n">
        <x:f>COUNTIF('RLDS_Q_RAW'!B5:G9,"Candidate")</x:f>
        <x:v>0</x:v>
      </x:c>
      <x:c r="G17" s="57" t="n">
        <x:f>COUNTIF('RLDS_Q_RAW'!B5:G9,"Uncertain")</x:f>
        <x:v>0</x:v>
      </x:c>
      <x:c r="H17" s="57" t="n">
        <x:f>COUNTIF('RLDS_Q_RAW'!B5:G9,"No branch")</x:f>
        <x:v>1</x:v>
      </x:c>
      <x:c r="I17" s="58" t="n">
        <x:f>COUNTIF('RLDS_Q_RAW'!B5:G9,"待标注")</x:f>
        <x:v>29</x:v>
      </x:c>
      <x:c r="J17"/>
    </x:row>
    <x:row r="18">
      <x:c r="A18" s="49" t="str">
        <x:v>HFLS_Q_RAW</x:v>
      </x:c>
      <x:c r="B18" s="50" t="str">
        <x:v>hfls → Q</x:v>
      </x:c>
      <x:c r="C18" s="50" t="str">
        <x:v>RAW</x:v>
      </x:c>
      <x:c r="D18" s="57" t="n">
        <x:f>30-COUNTIF('HFLS_Q_RAW'!B5:G9,"待标注")</x:f>
        <x:v>1</x:v>
      </x:c>
      <x:c r="E18" s="57" t="n">
        <x:f>COUNTIF('HFLS_Q_RAW'!B5:G9,"Branch")</x:f>
        <x:v>0</x:v>
      </x:c>
      <x:c r="F18" s="57" t="n">
        <x:f>COUNTIF('HFLS_Q_RAW'!B5:G9,"Candidate")</x:f>
        <x:v>0</x:v>
      </x:c>
      <x:c r="G18" s="57" t="n">
        <x:f>COUNTIF('HFLS_Q_RAW'!B5:G9,"Uncertain")</x:f>
        <x:v>0</x:v>
      </x:c>
      <x:c r="H18" s="57" t="n">
        <x:f>COUNTIF('HFLS_Q_RAW'!B5:G9,"No branch")</x:f>
        <x:v>1</x:v>
      </x:c>
      <x:c r="I18" s="58" t="n">
        <x:f>COUNTIF('HFLS_Q_RAW'!B5:G9,"待标注")</x:f>
        <x:v>29</x:v>
      </x:c>
      <x:c r="J18"/>
    </x:row>
    <x:row r="19">
      <x:c r="A19" s="49" t="str">
        <x:v>HFSS_Q_RAW</x:v>
      </x:c>
      <x:c r="B19" s="50" t="str">
        <x:v>hfss → Q</x:v>
      </x:c>
      <x:c r="C19" s="50" t="str">
        <x:v>RAW</x:v>
      </x:c>
      <x:c r="D19" s="57" t="n">
        <x:f>30-COUNTIF('HFSS_Q_RAW'!B5:G9,"待标注")</x:f>
        <x:v>1</x:v>
      </x:c>
      <x:c r="E19" s="57" t="n">
        <x:f>COUNTIF('HFSS_Q_RAW'!B5:G9,"Branch")</x:f>
        <x:v>0</x:v>
      </x:c>
      <x:c r="F19" s="57" t="n">
        <x:f>COUNTIF('HFSS_Q_RAW'!B5:G9,"Candidate")</x:f>
        <x:v>0</x:v>
      </x:c>
      <x:c r="G19" s="57" t="n">
        <x:f>COUNTIF('HFSS_Q_RAW'!B5:G9,"Uncertain")</x:f>
        <x:v>0</x:v>
      </x:c>
      <x:c r="H19" s="57" t="n">
        <x:f>COUNTIF('HFSS_Q_RAW'!B5:G9,"No branch")</x:f>
        <x:v>1</x:v>
      </x:c>
      <x:c r="I19" s="58" t="n">
        <x:f>COUNTIF('HFSS_Q_RAW'!B5:G9,"待标注")</x:f>
        <x:v>29</x:v>
      </x:c>
      <x:c r="J19"/>
    </x:row>
    <x:row r="20">
      <x:c r="A20" s="49" t="str">
        <x:v>HFSS_Q_TRIM</x:v>
      </x:c>
      <x:c r="B20" s="50" t="str">
        <x:v>hfss → Q</x:v>
      </x:c>
      <x:c r="C20" s="50" t="str">
        <x:v>TRIMMED</x:v>
      </x:c>
      <x:c r="D20" s="57" t="n">
        <x:f>30-COUNTIF('HFSS_Q_TRIM'!B5:G9,"待标注")</x:f>
        <x:v>3</x:v>
      </x:c>
      <x:c r="E20" s="57" t="n">
        <x:f>COUNTIF('HFSS_Q_TRIM'!B5:G9,"Branch")</x:f>
        <x:v>0</x:v>
      </x:c>
      <x:c r="F20" s="57" t="n">
        <x:f>COUNTIF('HFSS_Q_TRIM'!B5:G9,"Candidate")</x:f>
        <x:v>0</x:v>
      </x:c>
      <x:c r="G20" s="57" t="n">
        <x:f>COUNTIF('HFSS_Q_TRIM'!B5:G9,"Uncertain")</x:f>
        <x:v>0</x:v>
      </x:c>
      <x:c r="H20" s="57" t="n">
        <x:f>COUNTIF('HFSS_Q_TRIM'!B5:G9,"No branch")</x:f>
        <x:v>3</x:v>
      </x:c>
      <x:c r="I20" s="58" t="n">
        <x:f>COUNTIF('HFSS_Q_TRIM'!B5:G9,"待标注")</x:f>
        <x:v>27</x:v>
      </x:c>
      <x:c r="J20"/>
    </x:row>
    <x:row r="21">
      <x:c r="A21" s="49" t="str">
        <x:v>P_ET_RAW</x:v>
      </x:c>
      <x:c r="B21" s="50" t="str">
        <x:v>P → ET</x:v>
      </x:c>
      <x:c r="C21" s="50" t="str">
        <x:v>RAW</x:v>
      </x:c>
      <x:c r="D21" s="57" t="n">
        <x:f>30-COUNTIF('P_ET_RAW'!B5:G9,"待标注")</x:f>
        <x:v>2</x:v>
      </x:c>
      <x:c r="E21" s="57" t="n">
        <x:f>COUNTIF('P_ET_RAW'!B5:G9,"Branch")</x:f>
        <x:v>0</x:v>
      </x:c>
      <x:c r="F21" s="57" t="n">
        <x:f>COUNTIF('P_ET_RAW'!B5:G9,"Candidate")</x:f>
        <x:v>0</x:v>
      </x:c>
      <x:c r="G21" s="57" t="n">
        <x:f>COUNTIF('P_ET_RAW'!B5:G9,"Uncertain")</x:f>
        <x:v>0</x:v>
      </x:c>
      <x:c r="H21" s="57" t="n">
        <x:f>COUNTIF('P_ET_RAW'!B5:G9,"No branch")</x:f>
        <x:v>2</x:v>
      </x:c>
      <x:c r="I21" s="58" t="n">
        <x:f>COUNTIF('P_ET_RAW'!B5:G9,"待标注")</x:f>
        <x:v>28</x:v>
      </x:c>
      <x:c r="J21"/>
    </x:row>
    <x:row r="22">
      <x:c r="A22" s="49" t="str">
        <x:v>MRSOS_Q_TRIM</x:v>
      </x:c>
      <x:c r="B22" s="50" t="str">
        <x:v>mrsos → Q</x:v>
      </x:c>
      <x:c r="C22" s="50" t="str">
        <x:v>TRIMMED</x:v>
      </x:c>
      <x:c r="D22" s="57" t="n">
        <x:f>30-COUNTIF('MRSOS_Q_TRIM'!B5:G9,"待标注")</x:f>
        <x:v>1</x:v>
      </x:c>
      <x:c r="E22" s="57" t="n">
        <x:f>COUNTIF('MRSOS_Q_TRIM'!B5:G9,"Branch")</x:f>
        <x:v>0</x:v>
      </x:c>
      <x:c r="F22" s="57" t="n">
        <x:f>COUNTIF('MRSOS_Q_TRIM'!B5:G9,"Candidate")</x:f>
        <x:v>0</x:v>
      </x:c>
      <x:c r="G22" s="57" t="n">
        <x:f>COUNTIF('MRSOS_Q_TRIM'!B5:G9,"Uncertain")</x:f>
        <x:v>0</x:v>
      </x:c>
      <x:c r="H22" s="57" t="n">
        <x:f>COUNTIF('MRSOS_Q_TRIM'!B5:G9,"No branch")</x:f>
        <x:v>1</x:v>
      </x:c>
      <x:c r="I22" s="58" t="n">
        <x:f>COUNTIF('MRSOS_Q_TRIM'!B5:G9,"待标注")</x:f>
        <x:v>29</x:v>
      </x:c>
      <x:c r="J22"/>
    </x:row>
    <x:row r="23">
      <x:c r="A23" s="49" t="str">
        <x:v>RLUS_Q_RAW</x:v>
      </x:c>
      <x:c r="B23" s="50" t="str">
        <x:v>rlus → Q</x:v>
      </x:c>
      <x:c r="C23" s="50" t="str">
        <x:v>RAW</x:v>
      </x:c>
      <x:c r="D23" s="57" t="n">
        <x:f>30-COUNTIF('RLUS_Q_RAW'!B5:G9,"待标注")</x:f>
        <x:v>5</x:v>
      </x:c>
      <x:c r="E23" s="57" t="n">
        <x:f>COUNTIF('RLUS_Q_RAW'!B5:G9,"Branch")</x:f>
        <x:v>0</x:v>
      </x:c>
      <x:c r="F23" s="57" t="n">
        <x:f>COUNTIF('RLUS_Q_RAW'!B5:G9,"Candidate")</x:f>
        <x:v>0</x:v>
      </x:c>
      <x:c r="G23" s="57" t="n">
        <x:f>COUNTIF('RLUS_Q_RAW'!B5:G9,"Uncertain")</x:f>
        <x:v>0</x:v>
      </x:c>
      <x:c r="H23" s="57" t="n">
        <x:f>COUNTIF('RLUS_Q_RAW'!B5:G9,"No branch")</x:f>
        <x:v>5</x:v>
      </x:c>
      <x:c r="I23" s="58" t="n">
        <x:f>COUNTIF('RLUS_Q_RAW'!B5:G9,"待标注")</x:f>
        <x:v>25</x:v>
      </x:c>
      <x:c r="J23"/>
    </x:row>
    <x:row r="24">
      <x:c r="A24" s="49" t="str">
        <x:v>RLUS_Q_TRIM</x:v>
      </x:c>
      <x:c r="B24" s="50" t="str">
        <x:v>rlus → Q</x:v>
      </x:c>
      <x:c r="C24" s="50" t="str">
        <x:v>TRIMMED</x:v>
      </x:c>
      <x:c r="D24" s="57" t="n">
        <x:f>30-COUNTIF('RLUS_Q_TRIM'!B5:G9,"待标注")</x:f>
        <x:v>4</x:v>
      </x:c>
      <x:c r="E24" s="57" t="n">
        <x:f>COUNTIF('RLUS_Q_TRIM'!B5:G9,"Branch")</x:f>
        <x:v>0</x:v>
      </x:c>
      <x:c r="F24" s="57" t="n">
        <x:f>COUNTIF('RLUS_Q_TRIM'!B5:G9,"Candidate")</x:f>
        <x:v>0</x:v>
      </x:c>
      <x:c r="G24" s="57" t="n">
        <x:f>COUNTIF('RLUS_Q_TRIM'!B5:G9,"Uncertain")</x:f>
        <x:v>0</x:v>
      </x:c>
      <x:c r="H24" s="57" t="n">
        <x:f>COUNTIF('RLUS_Q_TRIM'!B5:G9,"No branch")</x:f>
        <x:v>4</x:v>
      </x:c>
      <x:c r="I24" s="58" t="n">
        <x:f>COUNTIF('RLUS_Q_TRIM'!B5:G9,"待标注")</x:f>
        <x:v>26</x:v>
      </x:c>
      <x:c r="J24"/>
    </x:row>
    <x:row r="25">
      <x:c r="A25" s="49" t="str">
        <x:v>MRROS_Q_TRIM</x:v>
      </x:c>
      <x:c r="B25" s="50" t="str">
        <x:v>mrros → Q</x:v>
      </x:c>
      <x:c r="C25" s="50" t="str">
        <x:v>TRIMMED</x:v>
      </x:c>
      <x:c r="D25" s="57" t="n">
        <x:f>30-COUNTIF('MRROS_Q_TRIM'!B5:G9,"待标注")</x:f>
        <x:v>3</x:v>
      </x:c>
      <x:c r="E25" s="57" t="n">
        <x:f>COUNTIF('MRROS_Q_TRIM'!B5:G9,"Branch")</x:f>
        <x:v>0</x:v>
      </x:c>
      <x:c r="F25" s="57" t="n">
        <x:f>COUNTIF('MRROS_Q_TRIM'!B5:G9,"Candidate")</x:f>
        <x:v>1</x:v>
      </x:c>
      <x:c r="G25" s="57" t="n">
        <x:f>COUNTIF('MRROS_Q_TRIM'!B5:G9,"Uncertain")</x:f>
        <x:v>2</x:v>
      </x:c>
      <x:c r="H25" s="57" t="n">
        <x:f>COUNTIF('MRROS_Q_TRIM'!B5:G9,"No branch")</x:f>
        <x:v>0</x:v>
      </x:c>
      <x:c r="I25" s="58" t="n">
        <x:f>COUNTIF('MRROS_Q_TRIM'!B5:G9,"待标注")</x:f>
        <x:v>27</x:v>
      </x:c>
      <x:c r="J25"/>
    </x:row>
    <x:row r="26">
      <x:c r="A26" s="49" t="str">
        <x:v>HFLS_Q_TRIM</x:v>
      </x:c>
      <x:c r="B26" s="50" t="str">
        <x:v>hfls → Q</x:v>
      </x:c>
      <x:c r="C26" s="50" t="str">
        <x:v>TRIMMED</x:v>
      </x:c>
      <x:c r="D26" s="57" t="n">
        <x:f>30-COUNTIF('HFLS_Q_TRIM'!B5:G9,"待标注")</x:f>
        <x:v>2</x:v>
      </x:c>
      <x:c r="E26" s="57" t="n">
        <x:f>COUNTIF('HFLS_Q_TRIM'!B5:G9,"Branch")</x:f>
        <x:v>0</x:v>
      </x:c>
      <x:c r="F26" s="57" t="n">
        <x:f>COUNTIF('HFLS_Q_TRIM'!B5:G9,"Candidate")</x:f>
        <x:v>2</x:v>
      </x:c>
      <x:c r="G26" s="57" t="n">
        <x:f>COUNTIF('HFLS_Q_TRIM'!B5:G9,"Uncertain")</x:f>
        <x:v>0</x:v>
      </x:c>
      <x:c r="H26" s="57" t="n">
        <x:f>COUNTIF('HFLS_Q_TRIM'!B5:G9,"No branch")</x:f>
        <x:v>0</x:v>
      </x:c>
      <x:c r="I26" s="58" t="n">
        <x:f>COUNTIF('HFLS_Q_TRIM'!B5:G9,"待标注")</x:f>
        <x:v>28</x:v>
      </x:c>
      <x:c r="J26"/>
    </x:row>
    <x:row r="27">
      <x:c r="A27" s="52" t="str">
        <x:v>PRSN_Q_TRIM</x:v>
      </x:c>
      <x:c r="B27" s="53" t="str">
        <x:v>prsn → Q</x:v>
      </x:c>
      <x:c r="C27" s="53" t="str">
        <x:v>TRIMMED</x:v>
      </x:c>
      <x:c r="D27" s="59" t="n">
        <x:f>30-COUNTIF('PRSN_Q_TRIM'!B5:G9,"待标注")</x:f>
        <x:v>4</x:v>
      </x:c>
      <x:c r="E27" s="59" t="n">
        <x:f>COUNTIF('PRSN_Q_TRIM'!B5:G9,"Branch")</x:f>
        <x:v>0</x:v>
      </x:c>
      <x:c r="F27" s="59" t="n">
        <x:f>COUNTIF('PRSN_Q_TRIM'!B5:G9,"Candidate")</x:f>
        <x:v>0</x:v>
      </x:c>
      <x:c r="G27" s="59" t="n">
        <x:f>COUNTIF('PRSN_Q_TRIM'!B5:G9,"Uncertain")</x:f>
        <x:v>4</x:v>
      </x:c>
      <x:c r="H27" s="59" t="n">
        <x:f>COUNTIF('PRSN_Q_TRIM'!B5:G9,"No branch")</x:f>
        <x:v>0</x:v>
      </x:c>
      <x:c r="I27" s="60" t="n">
        <x:f>COUNTIF('PRSN_Q_TRIM'!B5:G9,"待标注")</x:f>
        <x:v>26</x:v>
      </x:c>
      <x:c r="J27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0" hidden="0" customWidth="1"/>
    <x:col min="10" max="10" width="14.4399995803833" hidden="0" customWidth="1"/>
  </x:cols>
  <x:sheetData>
    <x:row r="1" ht="25.5" customHeight="1">
      <x:c r="A1" s="4" t="str">
        <x:v>P → Q · TRIMMED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B5:G9；下拉菜单限定为六类标签。颜色会随文字标签自动变化。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19" t="str">
        <x:v>Legend</x:v>
      </x:c>
      <x:c r="J4" s="119" t="str">
        <x:v>Meaning</x:v>
      </x:c>
    </x:row>
    <x:row r="5" ht="25.5" customHeight="1">
      <x:c r="A5" s="68" t="str">
        <x:v>CESM2</x:v>
      </x:c>
      <x:c r="B5" s="73" t="str">
        <x:v>No branch</x:v>
      </x:c>
      <x:c r="C5" s="73" t="str">
        <x:v>No branch</x:v>
      </x:c>
      <x:c r="D5" s="73" t="str">
        <x:v>No branch</x:v>
      </x:c>
      <x:c r="E5" s="73" t="str">
        <x:v>No branch</x:v>
      </x:c>
      <x:c r="F5" s="73" t="str">
        <x:v>No branch</x:v>
      </x:c>
      <x:c r="G5" s="73" t="str">
        <x:v>Branch</x:v>
      </x:c>
      <x:c r="I5" s="122" t="str">
        <x:v>Branch</x:v>
      </x:c>
      <x:c r="J5" s="123" t="str">
        <x:v>明确分支</x:v>
      </x:c>
    </x:row>
    <x:row r="6" ht="25.5" customHeight="1">
      <x:c r="A6" s="68" t="str">
        <x:v>CNRM-CM6-1</x:v>
      </x:c>
      <x:c r="B6" s="73" t="str">
        <x:v>Uncertain</x:v>
      </x:c>
      <x:c r="C6" s="73" t="str">
        <x:v>No branch</x:v>
      </x:c>
      <x:c r="D6" s="73" t="str">
        <x:v>No branch</x:v>
      </x:c>
      <x:c r="E6" s="73" t="str">
        <x:v>No branch</x:v>
      </x:c>
      <x:c r="F6" s="73" t="str">
        <x:v>No branch</x:v>
      </x:c>
      <x:c r="G6" s="73" t="str">
        <x:v>No branch</x:v>
      </x:c>
      <x:c r="I6" s="126" t="str">
        <x:v>Candidate</x:v>
      </x:c>
      <x:c r="J6" s="127" t="str">
        <x:v>局部/较弱分支</x:v>
      </x:c>
    </x:row>
    <x:row r="7" ht="25.5" customHeight="1">
      <x:c r="A7" s="68" t="str">
        <x:v>CanESM5</x:v>
      </x:c>
      <x:c r="B7" s="73" t="str">
        <x:v>Uncertain</x:v>
      </x:c>
      <x:c r="C7" s="73" t="str">
        <x:v>No branch</x:v>
      </x:c>
      <x:c r="D7" s="73" t="str">
        <x:v>No branch</x:v>
      </x:c>
      <x:c r="E7" s="73" t="str">
        <x:v>No branch</x:v>
      </x:c>
      <x:c r="F7" s="73" t="str">
        <x:v>No branch</x:v>
      </x:c>
      <x:c r="G7" s="73" t="str">
        <x:v>No branch</x:v>
      </x:c>
      <x:c r="I7" s="130" t="str">
        <x:v>Uncertain</x:v>
      </x:c>
      <x:c r="J7" s="131" t="str">
        <x:v>尚需复核</x:v>
      </x:c>
    </x:row>
    <x:row r="8" ht="25.5" customHeight="1">
      <x:c r="A8" s="68" t="str">
        <x:v>GFDL-CM4</x:v>
      </x:c>
      <x:c r="B8" s="73" t="str">
        <x:v>Uncertain</x:v>
      </x:c>
      <x:c r="C8" s="73" t="str">
        <x:v>No branch</x:v>
      </x:c>
      <x:c r="D8" s="73" t="str">
        <x:v>No branch</x:v>
      </x:c>
      <x:c r="E8" s="73" t="str">
        <x:v>No branch</x:v>
      </x:c>
      <x:c r="F8" s="73" t="str">
        <x:v>No branch</x:v>
      </x:c>
      <x:c r="G8" s="73" t="str">
        <x:v>Branch</x:v>
      </x:c>
      <x:c r="I8" s="134" t="str">
        <x:v>No branch</x:v>
      </x:c>
      <x:c r="J8" s="135" t="str">
        <x:v>明确非分支</x:v>
      </x:c>
    </x:row>
    <x:row r="9" ht="25.5" customHeight="1">
      <x:c r="A9" s="68" t="str">
        <x:v>CMCC-CM2-SR5</x:v>
      </x:c>
      <x:c r="B9" s="73" t="str">
        <x:v>No branch</x:v>
      </x:c>
      <x:c r="C9" s="73" t="str">
        <x:v>No branch</x:v>
      </x:c>
      <x:c r="D9" s="73" t="str">
        <x:v>No branch</x:v>
      </x:c>
      <x:c r="E9" s="73" t="str">
        <x:v>No branch</x:v>
      </x:c>
      <x:c r="F9" s="73" t="str">
        <x:v>No branch</x:v>
      </x:c>
      <x:c r="G9" s="73" t="str">
        <x:v>Branch</x:v>
      </x:c>
      <x:c r="I9" s="138" t="str">
        <x:v>待标注</x:v>
      </x:c>
      <x:c r="J9" s="139" t="str">
        <x:v>无人工判断</x:v>
      </x:c>
    </x:row>
    <x:row r="10">
      <x:c r="I10"/>
      <x:c r="J10"/>
    </x:row>
  </x:sheetData>
  <x:mergeCells>
    <x:mergeCell ref="A1:J1"/>
    <x:mergeCell ref="A2:J2"/>
  </x:mergeCells>
  <x:conditionalFormatting sqref="B5:G9">
    <x:cfRule type="expression" dxfId="175" priority="1">
      <x:formula>B5="Branch"</x:formula>
    </x:cfRule>
    <x:cfRule type="expression" dxfId="176" priority="2">
      <x:formula>B5="Candidate"</x:formula>
    </x:cfRule>
    <x:cfRule type="expression" dxfId="177" priority="3">
      <x:formula>B5="Uncertain"</x:formula>
    </x:cfRule>
    <x:cfRule type="expression" dxfId="178" priority="4">
      <x:formula>B5="No branch"</x:formula>
    </x:cfRule>
    <x:cfRule type="expression" dxfId="179" priority="5">
      <x:formula>B5="待标注"</x:formula>
    </x:cfRule>
  </x:conditionalFormatting>
  <x:dataValidations count="1">
    <x:dataValidation type="list" sqref="B5:G9">
      <x:formula1>"Branch,Candidate,Uncertain,No branch,待标注"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0" hidden="0" customWidth="1"/>
    <x:col min="10" max="10" width="14.4399995803833" hidden="0" customWidth="1"/>
  </x:cols>
  <x:sheetData>
    <x:row r="1" ht="25.5" customHeight="1">
      <x:c r="A1" s="4" t="str">
        <x:v>P → Q · RAW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B5:G9；下拉菜单限定为六类标签。颜色会随文字标签自动变化。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19" t="str">
        <x:v>Legend</x:v>
      </x:c>
      <x:c r="J4" s="119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待标注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待标注</x:v>
      </x:c>
      <x:c r="I5" s="122" t="str">
        <x:v>Branch</x:v>
      </x:c>
      <x:c r="J5" s="123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26" t="str">
        <x:v>Candidate</x:v>
      </x:c>
      <x:c r="J6" s="127" t="str">
        <x:v>局部/较弱分支</x:v>
      </x:c>
    </x:row>
    <x:row r="7" ht="25.5" customHeight="1">
      <x:c r="A7" s="68" t="str">
        <x:v>CanESM5</x:v>
      </x:c>
      <x:c r="B7" s="73" t="str">
        <x:v>No branch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30" t="str">
        <x:v>Uncertain</x:v>
      </x:c>
      <x:c r="J7" s="131" t="str">
        <x:v>尚需复核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Branch</x:v>
      </x:c>
      <x:c r="I8" s="134" t="str">
        <x:v>No branch</x:v>
      </x:c>
      <x:c r="J8" s="135" t="str">
        <x:v>明确非分支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Branch</x:v>
      </x:c>
      <x:c r="I9" s="138" t="str">
        <x:v>待标注</x:v>
      </x:c>
      <x:c r="J9" s="139" t="str">
        <x:v>无人工判断</x:v>
      </x:c>
    </x:row>
    <x:row r="10">
      <x:c r="I10"/>
      <x:c r="J10"/>
    </x:row>
  </x:sheetData>
  <x:mergeCells>
    <x:mergeCell ref="A1:J1"/>
    <x:mergeCell ref="A2:J2"/>
  </x:mergeCells>
  <x:conditionalFormatting sqref="B5:G9">
    <x:cfRule type="expression" dxfId="180" priority="1">
      <x:formula>B5="Branch"</x:formula>
    </x:cfRule>
    <x:cfRule type="expression" dxfId="181" priority="2">
      <x:formula>B5="Candidate"</x:formula>
    </x:cfRule>
    <x:cfRule type="expression" dxfId="182" priority="3">
      <x:formula>B5="Uncertain"</x:formula>
    </x:cfRule>
    <x:cfRule type="expression" dxfId="183" priority="4">
      <x:formula>B5="No branch"</x:formula>
    </x:cfRule>
    <x:cfRule type="expression" dxfId="184" priority="5">
      <x:formula>B5="待标注"</x:formula>
    </x:cfRule>
  </x:conditionalFormatting>
  <x:dataValidations count="1">
    <x:dataValidation type="list" sqref="B5:G9">
      <x:formula1>"Branch,Candidate,Uncertain,No branch,待标注"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0" hidden="0" customWidth="1"/>
    <x:col min="10" max="10" width="14.4399995803833" hidden="0" customWidth="1"/>
  </x:cols>
  <x:sheetData>
    <x:row r="1" ht="25.5" customHeight="1">
      <x:c r="A1" s="4" t="str">
        <x:v>ET → Q · RAW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B5:G9；下拉菜单限定为六类标签。颜色会随文字标签自动变化。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19" t="str">
        <x:v>Legend</x:v>
      </x:c>
      <x:c r="J4" s="119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待标注</x:v>
      </x:c>
      <x:c r="D5" s="73" t="str">
        <x:v>待标注</x:v>
      </x:c>
      <x:c r="E5" s="73" t="str">
        <x:v>待标注</x:v>
      </x:c>
      <x:c r="F5" s="73" t="str">
        <x:v>No branch</x:v>
      </x:c>
      <x:c r="G5" s="73" t="str">
        <x:v>待标注</x:v>
      </x:c>
      <x:c r="I5" s="122" t="str">
        <x:v>Branch</x:v>
      </x:c>
      <x:c r="J5" s="123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26" t="str">
        <x:v>Candidate</x:v>
      </x:c>
      <x:c r="J6" s="127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30" t="str">
        <x:v>Uncertain</x:v>
      </x:c>
      <x:c r="J7" s="131" t="str">
        <x:v>尚需复核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待标注</x:v>
      </x:c>
      <x:c r="I8" s="134" t="str">
        <x:v>No branch</x:v>
      </x:c>
      <x:c r="J8" s="135" t="str">
        <x:v>明确非分支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38" t="str">
        <x:v>待标注</x:v>
      </x:c>
      <x:c r="J9" s="139" t="str">
        <x:v>无人工判断</x:v>
      </x:c>
    </x:row>
    <x:row r="10">
      <x:c r="I10"/>
      <x:c r="J10"/>
    </x:row>
  </x:sheetData>
  <x:mergeCells>
    <x:mergeCell ref="A1:J1"/>
    <x:mergeCell ref="A2:J2"/>
  </x:mergeCells>
  <x:conditionalFormatting sqref="B5:G9">
    <x:cfRule type="expression" dxfId="185" priority="1">
      <x:formula>B5="Branch"</x:formula>
    </x:cfRule>
    <x:cfRule type="expression" dxfId="186" priority="2">
      <x:formula>B5="Candidate"</x:formula>
    </x:cfRule>
    <x:cfRule type="expression" dxfId="187" priority="3">
      <x:formula>B5="Uncertain"</x:formula>
    </x:cfRule>
    <x:cfRule type="expression" dxfId="188" priority="4">
      <x:formula>B5="No branch"</x:formula>
    </x:cfRule>
    <x:cfRule type="expression" dxfId="189" priority="5">
      <x:formula>B5="待标注"</x:formula>
    </x:cfRule>
  </x:conditionalFormatting>
  <x:dataValidations count="1">
    <x:dataValidation type="list" sqref="B5:G9">
      <x:formula1>"Branch,Candidate,Uncertain,No branch,待标注"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0" hidden="0" customWidth="1"/>
    <x:col min="10" max="10" width="14.4399995803833" hidden="0" customWidth="1"/>
  </x:cols>
  <x:sheetData>
    <x:row r="1" ht="25.5" customHeight="1">
      <x:c r="A1" s="4" t="str">
        <x:v>rsds → Q · RAW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B5:G9；下拉菜单限定为六类标签。颜色会随文字标签自动变化。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19" t="str">
        <x:v>Legend</x:v>
      </x:c>
      <x:c r="J4" s="119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No branch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待标注</x:v>
      </x:c>
      <x:c r="I5" s="122" t="str">
        <x:v>Branch</x:v>
      </x:c>
      <x:c r="J5" s="123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26" t="str">
        <x:v>Candidate</x:v>
      </x:c>
      <x:c r="J6" s="127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30" t="str">
        <x:v>Uncertain</x:v>
      </x:c>
      <x:c r="J7" s="131" t="str">
        <x:v>尚需复核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待标注</x:v>
      </x:c>
      <x:c r="I8" s="134" t="str">
        <x:v>No branch</x:v>
      </x:c>
      <x:c r="J8" s="135" t="str">
        <x:v>明确非分支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38" t="str">
        <x:v>待标注</x:v>
      </x:c>
      <x:c r="J9" s="139" t="str">
        <x:v>无人工判断</x:v>
      </x:c>
    </x:row>
    <x:row r="10">
      <x:c r="I10"/>
      <x:c r="J10"/>
    </x:row>
  </x:sheetData>
  <x:mergeCells>
    <x:mergeCell ref="A1:J1"/>
    <x:mergeCell ref="A2:J2"/>
  </x:mergeCells>
  <x:conditionalFormatting sqref="B5:G9">
    <x:cfRule type="expression" dxfId="190" priority="1">
      <x:formula>B5="Branch"</x:formula>
    </x:cfRule>
    <x:cfRule type="expression" dxfId="191" priority="2">
      <x:formula>B5="Candidate"</x:formula>
    </x:cfRule>
    <x:cfRule type="expression" dxfId="192" priority="3">
      <x:formula>B5="Uncertain"</x:formula>
    </x:cfRule>
    <x:cfRule type="expression" dxfId="193" priority="4">
      <x:formula>B5="No branch"</x:formula>
    </x:cfRule>
    <x:cfRule type="expression" dxfId="194" priority="5">
      <x:formula>B5="待标注"</x:formula>
    </x:cfRule>
  </x:conditionalFormatting>
  <x:dataValidations count="1">
    <x:dataValidation type="list" sqref="B5:G9">
      <x:formula1>"Branch,Candidate,Uncertain,No branch,待标注"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0" hidden="0" customWidth="1"/>
    <x:col min="10" max="10" width="14.4399995803833" hidden="0" customWidth="1"/>
  </x:cols>
  <x:sheetData>
    <x:row r="1" ht="25.5" customHeight="1">
      <x:c r="A1" s="4" t="str">
        <x:v>rlds → Q · RAW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B5:G9；下拉菜单限定为六类标签。颜色会随文字标签自动变化。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19" t="str">
        <x:v>Legend</x:v>
      </x:c>
      <x:c r="J4" s="119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No branch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待标注</x:v>
      </x:c>
      <x:c r="I5" s="122" t="str">
        <x:v>Branch</x:v>
      </x:c>
      <x:c r="J5" s="123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26" t="str">
        <x:v>Candidate</x:v>
      </x:c>
      <x:c r="J6" s="127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30" t="str">
        <x:v>Uncertain</x:v>
      </x:c>
      <x:c r="J7" s="131" t="str">
        <x:v>尚需复核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待标注</x:v>
      </x:c>
      <x:c r="I8" s="134" t="str">
        <x:v>No branch</x:v>
      </x:c>
      <x:c r="J8" s="135" t="str">
        <x:v>明确非分支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38" t="str">
        <x:v>待标注</x:v>
      </x:c>
      <x:c r="J9" s="139" t="str">
        <x:v>无人工判断</x:v>
      </x:c>
    </x:row>
    <x:row r="10">
      <x:c r="I10"/>
      <x:c r="J10"/>
    </x:row>
  </x:sheetData>
  <x:mergeCells>
    <x:mergeCell ref="A1:J1"/>
    <x:mergeCell ref="A2:J2"/>
  </x:mergeCells>
  <x:conditionalFormatting sqref="B5:G9">
    <x:cfRule type="expression" dxfId="195" priority="1">
      <x:formula>B5="Branch"</x:formula>
    </x:cfRule>
    <x:cfRule type="expression" dxfId="196" priority="2">
      <x:formula>B5="Candidate"</x:formula>
    </x:cfRule>
    <x:cfRule type="expression" dxfId="197" priority="3">
      <x:formula>B5="Uncertain"</x:formula>
    </x:cfRule>
    <x:cfRule type="expression" dxfId="198" priority="4">
      <x:formula>B5="No branch"</x:formula>
    </x:cfRule>
    <x:cfRule type="expression" dxfId="199" priority="5">
      <x:formula>B5="待标注"</x:formula>
    </x:cfRule>
  </x:conditionalFormatting>
  <x:dataValidations count="1">
    <x:dataValidation type="list" sqref="B5:G9">
      <x:formula1>"Branch,Candidate,Uncertain,No branch,待标注"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0" hidden="0" customWidth="1"/>
    <x:col min="10" max="10" width="14.4399995803833" hidden="0" customWidth="1"/>
  </x:cols>
  <x:sheetData>
    <x:row r="1" ht="25.5" customHeight="1">
      <x:c r="A1" s="4" t="str">
        <x:v>hfls → Q · RAW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B5:G9；下拉菜单限定为六类标签。颜色会随文字标签自动变化。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19" t="str">
        <x:v>Legend</x:v>
      </x:c>
      <x:c r="J4" s="119" t="str">
        <x:v>Meaning</x:v>
      </x:c>
    </x:row>
    <x:row r="5" ht="25.5" customHeight="1">
      <x:c r="A5" s="68" t="str">
        <x:v>CESM2</x:v>
      </x:c>
      <x:c r="B5" s="73" t="str">
        <x:v>No branch</x:v>
      </x:c>
      <x:c r="C5" s="73" t="str">
        <x:v>待标注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待标注</x:v>
      </x:c>
      <x:c r="I5" s="122" t="str">
        <x:v>Branch</x:v>
      </x:c>
      <x:c r="J5" s="123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26" t="str">
        <x:v>Candidate</x:v>
      </x:c>
      <x:c r="J6" s="127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30" t="str">
        <x:v>Uncertain</x:v>
      </x:c>
      <x:c r="J7" s="131" t="str">
        <x:v>尚需复核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待标注</x:v>
      </x:c>
      <x:c r="I8" s="134" t="str">
        <x:v>No branch</x:v>
      </x:c>
      <x:c r="J8" s="135" t="str">
        <x:v>明确非分支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38" t="str">
        <x:v>待标注</x:v>
      </x:c>
      <x:c r="J9" s="139" t="str">
        <x:v>无人工判断</x:v>
      </x:c>
    </x:row>
    <x:row r="10">
      <x:c r="I10"/>
      <x:c r="J10"/>
    </x:row>
  </x:sheetData>
  <x:mergeCells>
    <x:mergeCell ref="A1:J1"/>
    <x:mergeCell ref="A2:J2"/>
  </x:mergeCells>
  <x:conditionalFormatting sqref="B5:G9">
    <x:cfRule type="expression" dxfId="200" priority="1">
      <x:formula>B5="Branch"</x:formula>
    </x:cfRule>
    <x:cfRule type="expression" dxfId="201" priority="2">
      <x:formula>B5="Candidate"</x:formula>
    </x:cfRule>
    <x:cfRule type="expression" dxfId="202" priority="3">
      <x:formula>B5="Uncertain"</x:formula>
    </x:cfRule>
    <x:cfRule type="expression" dxfId="203" priority="4">
      <x:formula>B5="No branch"</x:formula>
    </x:cfRule>
    <x:cfRule type="expression" dxfId="204" priority="5">
      <x:formula>B5="待标注"</x:formula>
    </x:cfRule>
  </x:conditionalFormatting>
  <x:dataValidations count="1">
    <x:dataValidation type="list" sqref="B5:G9">
      <x:formula1>"Branch,Candidate,Uncertain,No branch,待标注"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0" hidden="0" customWidth="1"/>
    <x:col min="10" max="10" width="14.4399995803833" hidden="0" customWidth="1"/>
  </x:cols>
  <x:sheetData>
    <x:row r="1" ht="25.5" customHeight="1">
      <x:c r="A1" s="4" t="str">
        <x:v>hfss → Q · RAW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B5:G9；下拉菜单限定为六类标签。颜色会随文字标签自动变化。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19" t="str">
        <x:v>Legend</x:v>
      </x:c>
      <x:c r="J4" s="119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待标注</x:v>
      </x:c>
      <x:c r="D5" s="73" t="str">
        <x:v>No branch</x:v>
      </x:c>
      <x:c r="E5" s="73" t="str">
        <x:v>待标注</x:v>
      </x:c>
      <x:c r="F5" s="73" t="str">
        <x:v>待标注</x:v>
      </x:c>
      <x:c r="G5" s="73" t="str">
        <x:v>待标注</x:v>
      </x:c>
      <x:c r="I5" s="122" t="str">
        <x:v>Branch</x:v>
      </x:c>
      <x:c r="J5" s="123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26" t="str">
        <x:v>Candidate</x:v>
      </x:c>
      <x:c r="J6" s="127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30" t="str">
        <x:v>Uncertain</x:v>
      </x:c>
      <x:c r="J7" s="131" t="str">
        <x:v>尚需复核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待标注</x:v>
      </x:c>
      <x:c r="I8" s="134" t="str">
        <x:v>No branch</x:v>
      </x:c>
      <x:c r="J8" s="135" t="str">
        <x:v>明确非分支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38" t="str">
        <x:v>待标注</x:v>
      </x:c>
      <x:c r="J9" s="139" t="str">
        <x:v>无人工判断</x:v>
      </x:c>
    </x:row>
    <x:row r="10">
      <x:c r="I10"/>
      <x:c r="J10"/>
    </x:row>
  </x:sheetData>
  <x:mergeCells>
    <x:mergeCell ref="A1:J1"/>
    <x:mergeCell ref="A2:J2"/>
  </x:mergeCells>
  <x:conditionalFormatting sqref="B5:G9">
    <x:cfRule type="expression" dxfId="205" priority="1">
      <x:formula>B5="Branch"</x:formula>
    </x:cfRule>
    <x:cfRule type="expression" dxfId="206" priority="2">
      <x:formula>B5="Candidate"</x:formula>
    </x:cfRule>
    <x:cfRule type="expression" dxfId="207" priority="3">
      <x:formula>B5="Uncertain"</x:formula>
    </x:cfRule>
    <x:cfRule type="expression" dxfId="208" priority="4">
      <x:formula>B5="No branch"</x:formula>
    </x:cfRule>
    <x:cfRule type="expression" dxfId="209" priority="5">
      <x:formula>B5="待标注"</x:formula>
    </x:cfRule>
  </x:conditionalFormatting>
  <x:dataValidations count="1">
    <x:dataValidation type="list" sqref="B5:G9">
      <x:formula1>"Branch,Candidate,Uncertain,No branch,待标注"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0" hidden="0" customWidth="1"/>
    <x:col min="10" max="10" width="14.4399995803833" hidden="0" customWidth="1"/>
  </x:cols>
  <x:sheetData>
    <x:row r="1" ht="25.5" customHeight="1">
      <x:c r="A1" s="4" t="str">
        <x:v>hfss → Q · TRIMMED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B5:G9；下拉菜单限定为六类标签。颜色会随文字标签自动变化。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19" t="str">
        <x:v>Legend</x:v>
      </x:c>
      <x:c r="J4" s="119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待标注</x:v>
      </x:c>
      <x:c r="D5" s="73" t="str">
        <x:v>No branch</x:v>
      </x:c>
      <x:c r="E5" s="73" t="str">
        <x:v>待标注</x:v>
      </x:c>
      <x:c r="F5" s="73" t="str">
        <x:v>待标注</x:v>
      </x:c>
      <x:c r="G5" s="73" t="str">
        <x:v>No branch</x:v>
      </x:c>
      <x:c r="I5" s="122" t="str">
        <x:v>Branch</x:v>
      </x:c>
      <x:c r="J5" s="123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26" t="str">
        <x:v>Candidate</x:v>
      </x:c>
      <x:c r="J6" s="127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30" t="str">
        <x:v>Uncertain</x:v>
      </x:c>
      <x:c r="J7" s="131" t="str">
        <x:v>尚需复核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No branch</x:v>
      </x:c>
      <x:c r="I8" s="134" t="str">
        <x:v>No branch</x:v>
      </x:c>
      <x:c r="J8" s="135" t="str">
        <x:v>明确非分支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38" t="str">
        <x:v>待标注</x:v>
      </x:c>
      <x:c r="J9" s="139" t="str">
        <x:v>无人工判断</x:v>
      </x:c>
    </x:row>
    <x:row r="10">
      <x:c r="I10"/>
      <x:c r="J10"/>
    </x:row>
  </x:sheetData>
  <x:mergeCells>
    <x:mergeCell ref="A1:J1"/>
    <x:mergeCell ref="A2:J2"/>
  </x:mergeCells>
  <x:conditionalFormatting sqref="B5:G9">
    <x:cfRule type="expression" dxfId="210" priority="1">
      <x:formula>B5="Branch"</x:formula>
    </x:cfRule>
    <x:cfRule type="expression" dxfId="211" priority="2">
      <x:formula>B5="Candidate"</x:formula>
    </x:cfRule>
    <x:cfRule type="expression" dxfId="212" priority="3">
      <x:formula>B5="Uncertain"</x:formula>
    </x:cfRule>
    <x:cfRule type="expression" dxfId="213" priority="4">
      <x:formula>B5="No branch"</x:formula>
    </x:cfRule>
    <x:cfRule type="expression" dxfId="214" priority="5">
      <x:formula>B5="待标注"</x:formula>
    </x:cfRule>
  </x:conditionalFormatting>
  <x:dataValidations count="1">
    <x:dataValidation type="list" sqref="B5:G9">
      <x:formula1>"Branch,Candidate,Uncertain,No branch,待标注"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0" hidden="0" customWidth="1"/>
    <x:col min="10" max="10" width="14.4399995803833" hidden="0" customWidth="1"/>
  </x:cols>
  <x:sheetData>
    <x:row r="1" ht="25.5" customHeight="1">
      <x:c r="A1" s="4" t="str">
        <x:v>P → ET · RAW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B5:G9；下拉菜单限定为六类标签。颜色会随文字标签自动变化。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19" t="str">
        <x:v>Legend</x:v>
      </x:c>
      <x:c r="J4" s="119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待标注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No branch</x:v>
      </x:c>
      <x:c r="I5" s="122" t="str">
        <x:v>Branch</x:v>
      </x:c>
      <x:c r="J5" s="123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26" t="str">
        <x:v>Candidate</x:v>
      </x:c>
      <x:c r="J6" s="127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30" t="str">
        <x:v>Uncertain</x:v>
      </x:c>
      <x:c r="J7" s="131" t="str">
        <x:v>尚需复核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待标注</x:v>
      </x:c>
      <x:c r="I8" s="134" t="str">
        <x:v>No branch</x:v>
      </x:c>
      <x:c r="J8" s="135" t="str">
        <x:v>明确非分支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No branch</x:v>
      </x:c>
      <x:c r="I9" s="138" t="str">
        <x:v>待标注</x:v>
      </x:c>
      <x:c r="J9" s="139" t="str">
        <x:v>无人工判断</x:v>
      </x:c>
    </x:row>
    <x:row r="10">
      <x:c r="I10"/>
      <x:c r="J10"/>
    </x:row>
  </x:sheetData>
  <x:mergeCells>
    <x:mergeCell ref="A1:J1"/>
    <x:mergeCell ref="A2:J2"/>
  </x:mergeCells>
  <x:conditionalFormatting sqref="B5:G9">
    <x:cfRule type="expression" dxfId="215" priority="1">
      <x:formula>B5="Branch"</x:formula>
    </x:cfRule>
    <x:cfRule type="expression" dxfId="216" priority="2">
      <x:formula>B5="Candidate"</x:formula>
    </x:cfRule>
    <x:cfRule type="expression" dxfId="217" priority="3">
      <x:formula>B5="Uncertain"</x:formula>
    </x:cfRule>
    <x:cfRule type="expression" dxfId="218" priority="4">
      <x:formula>B5="No branch"</x:formula>
    </x:cfRule>
    <x:cfRule type="expression" dxfId="219" priority="5">
      <x:formula>B5="待标注"</x:formula>
    </x:cfRule>
  </x:conditionalFormatting>
  <x:dataValidations count="1">
    <x:dataValidation type="list" sqref="B5:G9">
      <x:formula1>"Branch,Candidate,Uncertain,No branch,待标注"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0" hidden="0" customWidth="1"/>
    <x:col min="10" max="10" width="14.4399995803833" hidden="0" customWidth="1"/>
  </x:cols>
  <x:sheetData>
    <x:row r="1" ht="25.5" customHeight="1">
      <x:c r="A1" s="4" t="str">
        <x:v>mrsos → Q · TRIMMED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B5:G9；下拉菜单限定为六类标签。颜色会随文字标签自动变化。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19" t="str">
        <x:v>Legend</x:v>
      </x:c>
      <x:c r="J4" s="119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待标注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待标注</x:v>
      </x:c>
      <x:c r="I5" s="122" t="str">
        <x:v>Branch</x:v>
      </x:c>
      <x:c r="J5" s="123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26" t="str">
        <x:v>Candidate</x:v>
      </x:c>
      <x:c r="J6" s="127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30" t="str">
        <x:v>Uncertain</x:v>
      </x:c>
      <x:c r="J7" s="131" t="str">
        <x:v>尚需复核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待标注</x:v>
      </x:c>
      <x:c r="I8" s="134" t="str">
        <x:v>No branch</x:v>
      </x:c>
      <x:c r="J8" s="135" t="str">
        <x:v>明确非分支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No branch</x:v>
      </x:c>
      <x:c r="I9" s="138" t="str">
        <x:v>待标注</x:v>
      </x:c>
      <x:c r="J9" s="139" t="str">
        <x:v>无人工判断</x:v>
      </x:c>
    </x:row>
    <x:row r="10">
      <x:c r="I10"/>
      <x:c r="J10"/>
    </x:row>
  </x:sheetData>
  <x:mergeCells>
    <x:mergeCell ref="A1:J1"/>
    <x:mergeCell ref="A2:J2"/>
  </x:mergeCells>
  <x:conditionalFormatting sqref="B5:G9">
    <x:cfRule type="expression" dxfId="220" priority="1">
      <x:formula>B5="Branch"</x:formula>
    </x:cfRule>
    <x:cfRule type="expression" dxfId="221" priority="2">
      <x:formula>B5="Candidate"</x:formula>
    </x:cfRule>
    <x:cfRule type="expression" dxfId="222" priority="3">
      <x:formula>B5="Uncertain"</x:formula>
    </x:cfRule>
    <x:cfRule type="expression" dxfId="223" priority="4">
      <x:formula>B5="No branch"</x:formula>
    </x:cfRule>
    <x:cfRule type="expression" dxfId="224" priority="5">
      <x:formula>B5="待标注"</x:formula>
    </x:cfRule>
  </x:conditionalFormatting>
  <x:dataValidations count="1">
    <x:dataValidation type="list" sqref="B5:G9">
      <x:formula1>"Branch,Candidate,Uncertain,No branch,待标注"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0" hidden="0" customWidth="1"/>
    <x:col min="10" max="10" width="14.4399995803833" hidden="0" customWidth="1"/>
  </x:cols>
  <x:sheetData>
    <x:row r="1" ht="25.5" customHeight="1">
      <x:c r="A1" s="4" t="str">
        <x:v>rlus → Q · RAW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B5:G9；下拉菜单限定为六类标签。颜色会随文字标签自动变化。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19" t="str">
        <x:v>Legend</x:v>
      </x:c>
      <x:c r="J4" s="119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待标注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No branch</x:v>
      </x:c>
      <x:c r="I5" s="122" t="str">
        <x:v>Branch</x:v>
      </x:c>
      <x:c r="J5" s="123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26" t="str">
        <x:v>Candidate</x:v>
      </x:c>
      <x:c r="J6" s="127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30" t="str">
        <x:v>Uncertain</x:v>
      </x:c>
      <x:c r="J7" s="131" t="str">
        <x:v>尚需复核</x:v>
      </x:c>
    </x:row>
    <x:row r="8" ht="25.5" customHeight="1">
      <x:c r="A8" s="68" t="str">
        <x:v>GFDL-CM4</x:v>
      </x:c>
      <x:c r="B8" s="73" t="str">
        <x:v>No branch</x:v>
      </x:c>
      <x:c r="C8" s="73" t="str">
        <x:v>待标注</x:v>
      </x:c>
      <x:c r="D8" s="73" t="str">
        <x:v>No branch</x:v>
      </x:c>
      <x:c r="E8" s="73" t="str">
        <x:v>待标注</x:v>
      </x:c>
      <x:c r="F8" s="73" t="str">
        <x:v>待标注</x:v>
      </x:c>
      <x:c r="G8" s="73" t="str">
        <x:v>No branch</x:v>
      </x:c>
      <x:c r="I8" s="134" t="str">
        <x:v>No branch</x:v>
      </x:c>
      <x:c r="J8" s="135" t="str">
        <x:v>明确非分支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No branch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38" t="str">
        <x:v>待标注</x:v>
      </x:c>
      <x:c r="J9" s="139" t="str">
        <x:v>无人工判断</x:v>
      </x:c>
    </x:row>
    <x:row r="10">
      <x:c r="I10"/>
      <x:c r="J10"/>
    </x:row>
  </x:sheetData>
  <x:mergeCells>
    <x:mergeCell ref="A1:J1"/>
    <x:mergeCell ref="A2:J2"/>
  </x:mergeCells>
  <x:conditionalFormatting sqref="B5:G9">
    <x:cfRule type="expression" dxfId="225" priority="1">
      <x:formula>B5="Branch"</x:formula>
    </x:cfRule>
    <x:cfRule type="expression" dxfId="226" priority="2">
      <x:formula>B5="Candidate"</x:formula>
    </x:cfRule>
    <x:cfRule type="expression" dxfId="227" priority="3">
      <x:formula>B5="Uncertain"</x:formula>
    </x:cfRule>
    <x:cfRule type="expression" dxfId="228" priority="4">
      <x:formula>B5="No branch"</x:formula>
    </x:cfRule>
    <x:cfRule type="expression" dxfId="229" priority="5">
      <x:formula>B5="待标注"</x:formula>
    </x:cfRule>
  </x:conditionalFormatting>
  <x:dataValidations count="1">
    <x:dataValidation type="list" sqref="B5:G9">
      <x:formula1>"Branch,Candidate,Uncertain,No branch,待标注"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0" hidden="0" customWidth="1"/>
    <x:col min="10" max="10" width="14.4399995803833" hidden="0" customWidth="1"/>
  </x:cols>
  <x:sheetData>
    <x:row r="1" ht="25.5" customHeight="1">
      <x:c r="A1" s="4" t="str">
        <x:v>rlus → Q · TRIMMED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B5:G9；下拉菜单限定为六类标签。颜色会随文字标签自动变化。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19" t="str">
        <x:v>Legend</x:v>
      </x:c>
      <x:c r="J4" s="119" t="str">
        <x:v>Meaning</x:v>
      </x:c>
    </x:row>
    <x:row r="5" ht="25.5" customHeight="1">
      <x:c r="A5" s="68" t="str">
        <x:v>CESM2</x:v>
      </x:c>
      <x:c r="B5" s="73" t="str">
        <x:v>No branch</x:v>
      </x:c>
      <x:c r="C5" s="73" t="str">
        <x:v>待标注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No branch</x:v>
      </x:c>
      <x:c r="I5" s="122" t="str">
        <x:v>Branch</x:v>
      </x:c>
      <x:c r="J5" s="123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26" t="str">
        <x:v>Candidate</x:v>
      </x:c>
      <x:c r="J6" s="127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30" t="str">
        <x:v>Uncertain</x:v>
      </x:c>
      <x:c r="J7" s="131" t="str">
        <x:v>尚需复核</x:v>
      </x:c>
    </x:row>
    <x:row r="8" ht="25.5" customHeight="1">
      <x:c r="A8" s="68" t="str">
        <x:v>GFDL-CM4</x:v>
      </x:c>
      <x:c r="B8" s="73" t="str">
        <x:v>No branch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待标注</x:v>
      </x:c>
      <x:c r="I8" s="134" t="str">
        <x:v>No branch</x:v>
      </x:c>
      <x:c r="J8" s="135" t="str">
        <x:v>明确非分支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No branch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38" t="str">
        <x:v>待标注</x:v>
      </x:c>
      <x:c r="J9" s="139" t="str">
        <x:v>无人工判断</x:v>
      </x:c>
    </x:row>
    <x:row r="10">
      <x:c r="I10"/>
      <x:c r="J10"/>
    </x:row>
  </x:sheetData>
  <x:mergeCells>
    <x:mergeCell ref="A1:J1"/>
    <x:mergeCell ref="A2:J2"/>
  </x:mergeCells>
  <x:conditionalFormatting sqref="B5:G9">
    <x:cfRule type="expression" dxfId="230" priority="1">
      <x:formula>B5="Branch"</x:formula>
    </x:cfRule>
    <x:cfRule type="expression" dxfId="231" priority="2">
      <x:formula>B5="Candidate"</x:formula>
    </x:cfRule>
    <x:cfRule type="expression" dxfId="232" priority="3">
      <x:formula>B5="Uncertain"</x:formula>
    </x:cfRule>
    <x:cfRule type="expression" dxfId="233" priority="4">
      <x:formula>B5="No branch"</x:formula>
    </x:cfRule>
    <x:cfRule type="expression" dxfId="234" priority="5">
      <x:formula>B5="待标注"</x:formula>
    </x:cfRule>
  </x:conditionalFormatting>
  <x:dataValidations count="1">
    <x:dataValidation type="list" sqref="B5:G9">
      <x:formula1>"Branch,Candidate,Uncertain,No branch,待标注"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0" hidden="0" customWidth="1"/>
    <x:col min="10" max="10" width="14.4399995803833" hidden="0" customWidth="1"/>
  </x:cols>
  <x:sheetData>
    <x:row r="1" ht="25.5" customHeight="1">
      <x:c r="A1" s="4" t="str">
        <x:v>mrros → Q · TRIMMED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B5:G9；下拉菜单限定为六类标签。颜色会随文字标签自动变化。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19" t="str">
        <x:v>Legend</x:v>
      </x:c>
      <x:c r="J4" s="119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待标注</x:v>
      </x:c>
      <x:c r="D5" s="73" t="str">
        <x:v>Uncertain</x:v>
      </x:c>
      <x:c r="E5" s="73" t="str">
        <x:v>待标注</x:v>
      </x:c>
      <x:c r="F5" s="73" t="str">
        <x:v>待标注</x:v>
      </x:c>
      <x:c r="G5" s="73" t="str">
        <x:v>Uncertain</x:v>
      </x:c>
      <x:c r="I5" s="122" t="str">
        <x:v>Branch</x:v>
      </x:c>
      <x:c r="J5" s="123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26" t="str">
        <x:v>Candidate</x:v>
      </x:c>
      <x:c r="J6" s="127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Candidate</x:v>
      </x:c>
      <x:c r="F7" s="73" t="str">
        <x:v>待标注</x:v>
      </x:c>
      <x:c r="G7" s="73" t="str">
        <x:v>待标注</x:v>
      </x:c>
      <x:c r="I7" s="130" t="str">
        <x:v>Uncertain</x:v>
      </x:c>
      <x:c r="J7" s="131" t="str">
        <x:v>尚需复核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待标注</x:v>
      </x:c>
      <x:c r="I8" s="134" t="str">
        <x:v>No branch</x:v>
      </x:c>
      <x:c r="J8" s="135" t="str">
        <x:v>明确非分支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38" t="str">
        <x:v>待标注</x:v>
      </x:c>
      <x:c r="J9" s="139" t="str">
        <x:v>无人工判断</x:v>
      </x:c>
    </x:row>
    <x:row r="10">
      <x:c r="I10"/>
      <x:c r="J10"/>
    </x:row>
  </x:sheetData>
  <x:mergeCells>
    <x:mergeCell ref="A1:J1"/>
    <x:mergeCell ref="A2:J2"/>
  </x:mergeCells>
  <x:conditionalFormatting sqref="B5:G9">
    <x:cfRule type="expression" dxfId="235" priority="1">
      <x:formula>B5="Branch"</x:formula>
    </x:cfRule>
    <x:cfRule type="expression" dxfId="236" priority="2">
      <x:formula>B5="Candidate"</x:formula>
    </x:cfRule>
    <x:cfRule type="expression" dxfId="237" priority="3">
      <x:formula>B5="Uncertain"</x:formula>
    </x:cfRule>
    <x:cfRule type="expression" dxfId="238" priority="4">
      <x:formula>B5="No branch"</x:formula>
    </x:cfRule>
    <x:cfRule type="expression" dxfId="239" priority="5">
      <x:formula>B5="待标注"</x:formula>
    </x:cfRule>
  </x:conditionalFormatting>
  <x:dataValidations count="1">
    <x:dataValidation type="list" sqref="B5:G9">
      <x:formula1>"Branch,Candidate,Uncertain,No branch,待标注"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0" hidden="0" customWidth="1"/>
    <x:col min="10" max="10" width="14.4399995803833" hidden="0" customWidth="1"/>
  </x:cols>
  <x:sheetData>
    <x:row r="1" ht="25.5" customHeight="1">
      <x:c r="A1" s="4" t="str">
        <x:v>hfls → Q · TRIMMED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B5:G9；下拉菜单限定为六类标签。颜色会随文字标签自动变化。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19" t="str">
        <x:v>Legend</x:v>
      </x:c>
      <x:c r="J4" s="119" t="str">
        <x:v>Meaning</x:v>
      </x:c>
    </x:row>
    <x:row r="5" ht="25.5" customHeight="1">
      <x:c r="A5" s="68" t="str">
        <x:v>CESM2</x:v>
      </x:c>
      <x:c r="B5" s="73" t="str">
        <x:v>待标注</x:v>
      </x:c>
      <x:c r="C5" s="73" t="str">
        <x:v>待标注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Candidate</x:v>
      </x:c>
      <x:c r="I5" s="122" t="str">
        <x:v>Branch</x:v>
      </x:c>
      <x:c r="J5" s="123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26" t="str">
        <x:v>Candidate</x:v>
      </x:c>
      <x:c r="J6" s="127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30" t="str">
        <x:v>Uncertain</x:v>
      </x:c>
      <x:c r="J7" s="131" t="str">
        <x:v>尚需复核</x:v>
      </x:c>
    </x:row>
    <x:row r="8" ht="25.5" customHeight="1">
      <x:c r="A8" s="68" t="str">
        <x:v>GFDL-CM4</x:v>
      </x:c>
      <x:c r="B8" s="73" t="str">
        <x:v>待标注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Candidate</x:v>
      </x:c>
      <x:c r="I8" s="134" t="str">
        <x:v>No branch</x:v>
      </x:c>
      <x:c r="J8" s="135" t="str">
        <x:v>明确非分支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待标注</x:v>
      </x:c>
      <x:c r="I9" s="138" t="str">
        <x:v>待标注</x:v>
      </x:c>
      <x:c r="J9" s="139" t="str">
        <x:v>无人工判断</x:v>
      </x:c>
    </x:row>
    <x:row r="10">
      <x:c r="I10"/>
      <x:c r="J10"/>
    </x:row>
  </x:sheetData>
  <x:mergeCells>
    <x:mergeCell ref="A1:J1"/>
    <x:mergeCell ref="A2:J2"/>
  </x:mergeCells>
  <x:conditionalFormatting sqref="B5:G9">
    <x:cfRule type="expression" dxfId="240" priority="1">
      <x:formula>B5="Branch"</x:formula>
    </x:cfRule>
    <x:cfRule type="expression" dxfId="241" priority="2">
      <x:formula>B5="Candidate"</x:formula>
    </x:cfRule>
    <x:cfRule type="expression" dxfId="242" priority="3">
      <x:formula>B5="Uncertain"</x:formula>
    </x:cfRule>
    <x:cfRule type="expression" dxfId="243" priority="4">
      <x:formula>B5="No branch"</x:formula>
    </x:cfRule>
    <x:cfRule type="expression" dxfId="244" priority="5">
      <x:formula>B5="待标注"</x:formula>
    </x:cfRule>
  </x:conditionalFormatting>
  <x:dataValidations count="1">
    <x:dataValidation type="list" sqref="B5:G9">
      <x:formula1>"Branch,Candidate,Uncertain,No branch,待标注"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9" max="9" width="10" hidden="0" customWidth="1"/>
    <x:col min="10" max="10" width="14.4399995803833" hidden="0" customWidth="1"/>
  </x:cols>
  <x:sheetData>
    <x:row r="1" ht="25.5" customHeight="1">
      <x:c r="A1" s="4" t="str">
        <x:v>prsn → Q · TRIMMED · Manual labels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.5" customHeight="1">
      <x:c r="A2" s="9" t="str">
        <x:v>可直接修改 B5:G9；下拉菜单限定为六类标签。颜色会随文字标签自动变化。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1.5" customHeight="1">
      <x:c r="A4" s="65" t="str">
        <x:v>Model</x:v>
      </x:c>
      <x:c r="B4" s="65" t="str">
        <x:v>All land</x:v>
      </x:c>
      <x:c r="C4" s="65" t="str">
        <x:v>Wet-warm (WW)</x:v>
      </x:c>
      <x:c r="D4" s="65" t="str">
        <x:v>Dry-warm (WD)</x:v>
      </x:c>
      <x:c r="E4" s="65" t="str">
        <x:v>Wet-cold (CW)</x:v>
      </x:c>
      <x:c r="F4" s="65" t="str">
        <x:v>Dry-cold (CD)</x:v>
      </x:c>
      <x:c r="G4" s="65" t="str">
        <x:v>Land ice (LI)</x:v>
      </x:c>
      <x:c r="I4" s="119" t="str">
        <x:v>Legend</x:v>
      </x:c>
      <x:c r="J4" s="119" t="str">
        <x:v>Meaning</x:v>
      </x:c>
    </x:row>
    <x:row r="5" ht="25.5" customHeight="1">
      <x:c r="A5" s="68" t="str">
        <x:v>CESM2</x:v>
      </x:c>
      <x:c r="B5" s="73" t="str">
        <x:v>Uncertain</x:v>
      </x:c>
      <x:c r="C5" s="73" t="str">
        <x:v>待标注</x:v>
      </x:c>
      <x:c r="D5" s="73" t="str">
        <x:v>待标注</x:v>
      </x:c>
      <x:c r="E5" s="73" t="str">
        <x:v>待标注</x:v>
      </x:c>
      <x:c r="F5" s="73" t="str">
        <x:v>待标注</x:v>
      </x:c>
      <x:c r="G5" s="73" t="str">
        <x:v>待标注</x:v>
      </x:c>
      <x:c r="I5" s="122" t="str">
        <x:v>Branch</x:v>
      </x:c>
      <x:c r="J5" s="123" t="str">
        <x:v>明确分支</x:v>
      </x:c>
    </x:row>
    <x:row r="6" ht="25.5" customHeight="1">
      <x:c r="A6" s="68" t="str">
        <x:v>CNRM-CM6-1</x:v>
      </x:c>
      <x:c r="B6" s="73" t="str">
        <x:v>待标注</x:v>
      </x:c>
      <x:c r="C6" s="73" t="str">
        <x:v>待标注</x:v>
      </x:c>
      <x:c r="D6" s="73" t="str">
        <x:v>待标注</x:v>
      </x:c>
      <x:c r="E6" s="73" t="str">
        <x:v>待标注</x:v>
      </x:c>
      <x:c r="F6" s="73" t="str">
        <x:v>待标注</x:v>
      </x:c>
      <x:c r="G6" s="73" t="str">
        <x:v>待标注</x:v>
      </x:c>
      <x:c r="I6" s="126" t="str">
        <x:v>Candidate</x:v>
      </x:c>
      <x:c r="J6" s="127" t="str">
        <x:v>局部/较弱分支</x:v>
      </x:c>
    </x:row>
    <x:row r="7" ht="25.5" customHeight="1">
      <x:c r="A7" s="68" t="str">
        <x:v>CanESM5</x:v>
      </x:c>
      <x:c r="B7" s="73" t="str">
        <x:v>待标注</x:v>
      </x:c>
      <x:c r="C7" s="73" t="str">
        <x:v>待标注</x:v>
      </x:c>
      <x:c r="D7" s="73" t="str">
        <x:v>待标注</x:v>
      </x:c>
      <x:c r="E7" s="73" t="str">
        <x:v>待标注</x:v>
      </x:c>
      <x:c r="F7" s="73" t="str">
        <x:v>待标注</x:v>
      </x:c>
      <x:c r="G7" s="73" t="str">
        <x:v>待标注</x:v>
      </x:c>
      <x:c r="I7" s="130" t="str">
        <x:v>Uncertain</x:v>
      </x:c>
      <x:c r="J7" s="131" t="str">
        <x:v>尚需复核</x:v>
      </x:c>
    </x:row>
    <x:row r="8" ht="25.5" customHeight="1">
      <x:c r="A8" s="68" t="str">
        <x:v>GFDL-CM4</x:v>
      </x:c>
      <x:c r="B8" s="73" t="str">
        <x:v>Uncertain</x:v>
      </x:c>
      <x:c r="C8" s="73" t="str">
        <x:v>待标注</x:v>
      </x:c>
      <x:c r="D8" s="73" t="str">
        <x:v>待标注</x:v>
      </x:c>
      <x:c r="E8" s="73" t="str">
        <x:v>待标注</x:v>
      </x:c>
      <x:c r="F8" s="73" t="str">
        <x:v>待标注</x:v>
      </x:c>
      <x:c r="G8" s="73" t="str">
        <x:v>Uncertain</x:v>
      </x:c>
      <x:c r="I8" s="134" t="str">
        <x:v>No branch</x:v>
      </x:c>
      <x:c r="J8" s="135" t="str">
        <x:v>明确非分支</x:v>
      </x:c>
    </x:row>
    <x:row r="9" ht="25.5" customHeight="1">
      <x:c r="A9" s="68" t="str">
        <x:v>CMCC-CM2-SR5</x:v>
      </x:c>
      <x:c r="B9" s="73" t="str">
        <x:v>待标注</x:v>
      </x:c>
      <x:c r="C9" s="73" t="str">
        <x:v>待标注</x:v>
      </x:c>
      <x:c r="D9" s="73" t="str">
        <x:v>待标注</x:v>
      </x:c>
      <x:c r="E9" s="73" t="str">
        <x:v>待标注</x:v>
      </x:c>
      <x:c r="F9" s="73" t="str">
        <x:v>待标注</x:v>
      </x:c>
      <x:c r="G9" s="73" t="str">
        <x:v>Uncertain</x:v>
      </x:c>
      <x:c r="I9" s="138" t="str">
        <x:v>待标注</x:v>
      </x:c>
      <x:c r="J9" s="139" t="str">
        <x:v>无人工判断</x:v>
      </x:c>
    </x:row>
    <x:row r="10">
      <x:c r="I10"/>
      <x:c r="J10"/>
    </x:row>
  </x:sheetData>
  <x:mergeCells>
    <x:mergeCell ref="A1:J1"/>
    <x:mergeCell ref="A2:J2"/>
  </x:mergeCells>
  <x:conditionalFormatting sqref="B5:G9">
    <x:cfRule type="expression" dxfId="245" priority="1">
      <x:formula>B5="Branch"</x:formula>
    </x:cfRule>
    <x:cfRule type="expression" dxfId="246" priority="2">
      <x:formula>B5="Candidate"</x:formula>
    </x:cfRule>
    <x:cfRule type="expression" dxfId="247" priority="3">
      <x:formula>B5="Uncertain"</x:formula>
    </x:cfRule>
    <x:cfRule type="expression" dxfId="248" priority="4">
      <x:formula>B5="No branch"</x:formula>
    </x:cfRule>
    <x:cfRule type="expression" dxfId="249" priority="5">
      <x:formula>B5="待标注"</x:formula>
    </x:cfRule>
  </x:conditionalFormatting>
  <x:dataValidations count="1">
    <x:dataValidation type="list" sqref="B5:G9">
      <x:formula1>"Branch,Candidate,Uncertain,No branch,待标注"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9.329999923706055" hidden="0" customWidth="1"/>
    <x:col min="3" max="3" width="15.5600004196167" hidden="0" customWidth="1"/>
    <x:col min="4" max="4" width="10" hidden="0" customWidth="1"/>
    <x:col min="5" max="5" width="9.109999656677246" hidden="0" customWidth="1"/>
    <x:col min="6" max="6" width="11.329999923706055" hidden="0" customWidth="1"/>
    <x:col min="7" max="7" width="9.329999923706055" hidden="0" customWidth="1"/>
    <x:col min="8" max="8" width="36.66999816894531" hidden="0" customWidth="1"/>
  </x:cols>
  <x:sheetData>
    <x:row r="1" ht="25.5" customHeight="1">
      <x:c r="A1" s="4" t="str">
        <x:v>Manual Label Log</x:v>
      </x:c>
      <x:c r="B1" s="4"/>
      <x:c r="C1" s="4"/>
      <x:c r="D1" s="4"/>
      <x:c r="E1" s="4"/>
      <x:c r="F1" s="4"/>
      <x:c r="G1" s="4"/>
      <x:c r="H1" s="4"/>
    </x:row>
    <x:row r="2" ht="22.5" customHeight="1">
      <x:c r="A2" s="9" t="str">
        <x:v>每行是一条已有人工作出判断的记录；矩阵中的“待标注”不写入此表。Confidence 表示本次整理时的确定程度。</x:v>
      </x:c>
      <x:c r="B2" s="9"/>
      <x:c r="C2" s="9"/>
      <x:c r="D2" s="9"/>
      <x:c r="E2" s="9"/>
      <x:c r="F2" s="9"/>
      <x:c r="G2" s="9"/>
      <x:c r="H2" s="9"/>
    </x:row>
    <x:row r="4">
      <x:c r="A4" s="76" t="str">
        <x:v>Pair</x:v>
      </x:c>
      <x:c r="B4" s="76" t="str">
        <x:v>Version</x:v>
      </x:c>
      <x:c r="C4" s="76" t="str">
        <x:v>Model</x:v>
      </x:c>
      <x:c r="D4" s="76" t="str">
        <x:v>Domain</x:v>
      </x:c>
      <x:c r="E4" s="76" t="str">
        <x:v>Coordinate</x:v>
      </x:c>
      <x:c r="F4" s="76" t="str">
        <x:v>Manual label</x:v>
      </x:c>
      <x:c r="G4" s="76" t="str">
        <x:v>Confidence</x:v>
      </x:c>
      <x:c r="H4" s="76" t="str">
        <x:v>Basis / note</x:v>
      </x:c>
    </x:row>
    <x:row r="5">
      <x:c r="A5" s="86" t="str">
        <x:v>P → Q</x:v>
      </x:c>
      <x:c r="B5" s="87" t="str">
        <x:v>TRIMMED</x:v>
      </x:c>
      <x:c r="C5" s="87" t="str">
        <x:v>CESM2</x:v>
      </x:c>
      <x:c r="D5" s="87" t="str">
        <x:v>all_land</x:v>
      </x:c>
      <x:c r="E5" s="87" t="str">
        <x:v>(1,1)</x:v>
      </x:c>
      <x:c r="F5" s="87" t="str">
        <x:v>No branch</x:v>
      </x:c>
      <x:c r="G5" s="87" t="str">
        <x:v>Medium</x:v>
      </x:c>
      <x:c r="H5" s="88" t="str">
        <x:v>整理自既有人工参考。</x:v>
      </x:c>
    </x:row>
    <x:row r="6">
      <x:c r="A6" s="89" t="str">
        <x:v>P → Q</x:v>
      </x:c>
      <x:c r="B6" s="90" t="str">
        <x:v>TRIMMED</x:v>
      </x:c>
      <x:c r="C6" s="90" t="str">
        <x:v>CESM2</x:v>
      </x:c>
      <x:c r="D6" s="90" t="str">
        <x:v>WW</x:v>
      </x:c>
      <x:c r="E6" s="90" t="str">
        <x:v>(1,2)</x:v>
      </x:c>
      <x:c r="F6" s="90" t="str">
        <x:v>No branch</x:v>
      </x:c>
      <x:c r="G6" s="90" t="str">
        <x:v>Medium</x:v>
      </x:c>
      <x:c r="H6" s="91" t="str">
        <x:v>旧双带类别已移除；按当前判定体系归入 No branch。</x:v>
      </x:c>
    </x:row>
    <x:row r="7">
      <x:c r="A7" s="89" t="str">
        <x:v>P → Q</x:v>
      </x:c>
      <x:c r="B7" s="90" t="str">
        <x:v>TRIMMED</x:v>
      </x:c>
      <x:c r="C7" s="90" t="str">
        <x:v>CESM2</x:v>
      </x:c>
      <x:c r="D7" s="90" t="str">
        <x:v>WD</x:v>
      </x:c>
      <x:c r="E7" s="90" t="str">
        <x:v>(1,3)</x:v>
      </x:c>
      <x:c r="F7" s="90" t="str">
        <x:v>No branch</x:v>
      </x:c>
      <x:c r="G7" s="90" t="str">
        <x:v>Medium</x:v>
      </x:c>
      <x:c r="H7" s="91" t="str">
        <x:v>整理自既有人工参考。</x:v>
      </x:c>
    </x:row>
    <x:row r="8">
      <x:c r="A8" s="89" t="str">
        <x:v>P → Q</x:v>
      </x:c>
      <x:c r="B8" s="90" t="str">
        <x:v>TRIMMED</x:v>
      </x:c>
      <x:c r="C8" s="90" t="str">
        <x:v>CESM2</x:v>
      </x:c>
      <x:c r="D8" s="90" t="str">
        <x:v>CW</x:v>
      </x:c>
      <x:c r="E8" s="90" t="str">
        <x:v>(1,4)</x:v>
      </x:c>
      <x:c r="F8" s="90" t="str">
        <x:v>No branch</x:v>
      </x:c>
      <x:c r="G8" s="90" t="str">
        <x:v>High</x:v>
      </x:c>
      <x:c r="H8" s="91" t="str">
        <x:v>用户明确认为应为 No branch。</x:v>
      </x:c>
    </x:row>
    <x:row r="9">
      <x:c r="A9" s="89" t="str">
        <x:v>P → Q</x:v>
      </x:c>
      <x:c r="B9" s="90" t="str">
        <x:v>TRIMMED</x:v>
      </x:c>
      <x:c r="C9" s="90" t="str">
        <x:v>CESM2</x:v>
      </x:c>
      <x:c r="D9" s="90" t="str">
        <x:v>CD</x:v>
      </x:c>
      <x:c r="E9" s="90" t="str">
        <x:v>(1,5)</x:v>
      </x:c>
      <x:c r="F9" s="90" t="str">
        <x:v>No branch</x:v>
      </x:c>
      <x:c r="G9" s="90" t="str">
        <x:v>Medium</x:v>
      </x:c>
      <x:c r="H9" s="91" t="str">
        <x:v>整理自既有人工参考。</x:v>
      </x:c>
    </x:row>
    <x:row r="10">
      <x:c r="A10" s="89" t="str">
        <x:v>P → Q</x:v>
      </x:c>
      <x:c r="B10" s="90" t="str">
        <x:v>TRIMMED</x:v>
      </x:c>
      <x:c r="C10" s="90" t="str">
        <x:v>CESM2</x:v>
      </x:c>
      <x:c r="D10" s="90" t="str">
        <x:v>LI</x:v>
      </x:c>
      <x:c r="E10" s="90" t="str">
        <x:v>(1,6)</x:v>
      </x:c>
      <x:c r="F10" s="90" t="str">
        <x:v>Branch</x:v>
      </x:c>
      <x:c r="G10" s="90" t="str">
        <x:v>High</x:v>
      </x:c>
      <x:c r="H10" s="91" t="str">
        <x:v>用户明确确认的 Branch（1,6）。</x:v>
      </x:c>
    </x:row>
    <x:row r="11">
      <x:c r="A11" s="89" t="str">
        <x:v>P → Q</x:v>
      </x:c>
      <x:c r="B11" s="90" t="str">
        <x:v>TRIMMED</x:v>
      </x:c>
      <x:c r="C11" s="90" t="str">
        <x:v>CNRM-CM6-1</x:v>
      </x:c>
      <x:c r="D11" s="90" t="str">
        <x:v>all_land</x:v>
      </x:c>
      <x:c r="E11" s="90" t="str">
        <x:v>(2,1)</x:v>
      </x:c>
      <x:c r="F11" s="90" t="str">
        <x:v>Uncertain</x:v>
      </x:c>
      <x:c r="G11" s="90" t="str">
        <x:v>Low</x:v>
      </x:c>
      <x:c r="H11" s="91" t="str">
        <x:v>后期红框与早期判断存在冲突，保留 Uncertain。</x:v>
      </x:c>
    </x:row>
    <x:row r="12">
      <x:c r="A12" s="89" t="str">
        <x:v>P → Q</x:v>
      </x:c>
      <x:c r="B12" s="90" t="str">
        <x:v>TRIMMED</x:v>
      </x:c>
      <x:c r="C12" s="90" t="str">
        <x:v>CNRM-CM6-1</x:v>
      </x:c>
      <x:c r="D12" s="90" t="str">
        <x:v>WW</x:v>
      </x:c>
      <x:c r="E12" s="90" t="str">
        <x:v>(2,2)</x:v>
      </x:c>
      <x:c r="F12" s="90" t="str">
        <x:v>No branch</x:v>
      </x:c>
      <x:c r="G12" s="90" t="str">
        <x:v>Medium</x:v>
      </x:c>
      <x:c r="H12" s="91" t="str">
        <x:v>整理自既有人工参考。</x:v>
      </x:c>
    </x:row>
    <x:row r="13">
      <x:c r="A13" s="89" t="str">
        <x:v>P → Q</x:v>
      </x:c>
      <x:c r="B13" s="90" t="str">
        <x:v>TRIMMED</x:v>
      </x:c>
      <x:c r="C13" s="90" t="str">
        <x:v>CNRM-CM6-1</x:v>
      </x:c>
      <x:c r="D13" s="90" t="str">
        <x:v>WD</x:v>
      </x:c>
      <x:c r="E13" s="90" t="str">
        <x:v>(2,3)</x:v>
      </x:c>
      <x:c r="F13" s="90" t="str">
        <x:v>No branch</x:v>
      </x:c>
      <x:c r="G13" s="90" t="str">
        <x:v>Medium</x:v>
      </x:c>
      <x:c r="H13" s="91" t="str">
        <x:v>整理自既有人工参考。</x:v>
      </x:c>
    </x:row>
    <x:row r="14">
      <x:c r="A14" s="89" t="str">
        <x:v>P → Q</x:v>
      </x:c>
      <x:c r="B14" s="90" t="str">
        <x:v>TRIMMED</x:v>
      </x:c>
      <x:c r="C14" s="90" t="str">
        <x:v>CNRM-CM6-1</x:v>
      </x:c>
      <x:c r="D14" s="90" t="str">
        <x:v>CW</x:v>
      </x:c>
      <x:c r="E14" s="90" t="str">
        <x:v>(2,4)</x:v>
      </x:c>
      <x:c r="F14" s="90" t="str">
        <x:v>No branch</x:v>
      </x:c>
      <x:c r="G14" s="90" t="str">
        <x:v>Medium</x:v>
      </x:c>
      <x:c r="H14" s="91" t="str">
        <x:v>整理自既有人工参考。</x:v>
      </x:c>
    </x:row>
    <x:row r="15">
      <x:c r="A15" s="89" t="str">
        <x:v>P → Q</x:v>
      </x:c>
      <x:c r="B15" s="90" t="str">
        <x:v>TRIMMED</x:v>
      </x:c>
      <x:c r="C15" s="90" t="str">
        <x:v>CNRM-CM6-1</x:v>
      </x:c>
      <x:c r="D15" s="90" t="str">
        <x:v>CD</x:v>
      </x:c>
      <x:c r="E15" s="90" t="str">
        <x:v>(2,5)</x:v>
      </x:c>
      <x:c r="F15" s="90" t="str">
        <x:v>No branch</x:v>
      </x:c>
      <x:c r="G15" s="90" t="str">
        <x:v>Medium</x:v>
      </x:c>
      <x:c r="H15" s="91" t="str">
        <x:v>整理自既有人工参考。</x:v>
      </x:c>
    </x:row>
    <x:row r="16">
      <x:c r="A16" s="89" t="str">
        <x:v>P → Q</x:v>
      </x:c>
      <x:c r="B16" s="90" t="str">
        <x:v>TRIMMED</x:v>
      </x:c>
      <x:c r="C16" s="90" t="str">
        <x:v>CNRM-CM6-1</x:v>
      </x:c>
      <x:c r="D16" s="90" t="str">
        <x:v>LI</x:v>
      </x:c>
      <x:c r="E16" s="90" t="str">
        <x:v>(2,6)</x:v>
      </x:c>
      <x:c r="F16" s="90" t="str">
        <x:v>No branch</x:v>
      </x:c>
      <x:c r="G16" s="90" t="str">
        <x:v>Medium</x:v>
      </x:c>
      <x:c r="H16" s="91" t="str">
        <x:v>整理自既有人工参考。</x:v>
      </x:c>
    </x:row>
    <x:row r="17">
      <x:c r="A17" s="89" t="str">
        <x:v>P → Q</x:v>
      </x:c>
      <x:c r="B17" s="90" t="str">
        <x:v>TRIMMED</x:v>
      </x:c>
      <x:c r="C17" s="90" t="str">
        <x:v>CanESM5</x:v>
      </x:c>
      <x:c r="D17" s="90" t="str">
        <x:v>all_land</x:v>
      </x:c>
      <x:c r="E17" s="90" t="str">
        <x:v>(3,1)</x:v>
      </x:c>
      <x:c r="F17" s="90" t="str">
        <x:v>Uncertain</x:v>
      </x:c>
      <x:c r="G17" s="90" t="str">
        <x:v>Low</x:v>
      </x:c>
      <x:c r="H17" s="91" t="str">
        <x:v>后期红框与早期判断存在冲突，保留 Uncertain。</x:v>
      </x:c>
    </x:row>
    <x:row r="18">
      <x:c r="A18" s="89" t="str">
        <x:v>P → Q</x:v>
      </x:c>
      <x:c r="B18" s="90" t="str">
        <x:v>TRIMMED</x:v>
      </x:c>
      <x:c r="C18" s="90" t="str">
        <x:v>CanESM5</x:v>
      </x:c>
      <x:c r="D18" s="90" t="str">
        <x:v>WW</x:v>
      </x:c>
      <x:c r="E18" s="90" t="str">
        <x:v>(3,2)</x:v>
      </x:c>
      <x:c r="F18" s="90" t="str">
        <x:v>No branch</x:v>
      </x:c>
      <x:c r="G18" s="90" t="str">
        <x:v>Medium</x:v>
      </x:c>
      <x:c r="H18" s="91" t="str">
        <x:v>整理自既有人工参考。</x:v>
      </x:c>
    </x:row>
    <x:row r="19">
      <x:c r="A19" s="89" t="str">
        <x:v>P → Q</x:v>
      </x:c>
      <x:c r="B19" s="90" t="str">
        <x:v>TRIMMED</x:v>
      </x:c>
      <x:c r="C19" s="90" t="str">
        <x:v>CanESM5</x:v>
      </x:c>
      <x:c r="D19" s="90" t="str">
        <x:v>WD</x:v>
      </x:c>
      <x:c r="E19" s="90" t="str">
        <x:v>(3,3)</x:v>
      </x:c>
      <x:c r="F19" s="90" t="str">
        <x:v>No branch</x:v>
      </x:c>
      <x:c r="G19" s="90" t="str">
        <x:v>Medium</x:v>
      </x:c>
      <x:c r="H19" s="91" t="str">
        <x:v>整理自既有人工参考。</x:v>
      </x:c>
    </x:row>
    <x:row r="20">
      <x:c r="A20" s="89" t="str">
        <x:v>P → Q</x:v>
      </x:c>
      <x:c r="B20" s="90" t="str">
        <x:v>TRIMMED</x:v>
      </x:c>
      <x:c r="C20" s="90" t="str">
        <x:v>CanESM5</x:v>
      </x:c>
      <x:c r="D20" s="90" t="str">
        <x:v>CW</x:v>
      </x:c>
      <x:c r="E20" s="90" t="str">
        <x:v>(3,4)</x:v>
      </x:c>
      <x:c r="F20" s="90" t="str">
        <x:v>No branch</x:v>
      </x:c>
      <x:c r="G20" s="90" t="str">
        <x:v>Medium</x:v>
      </x:c>
      <x:c r="H20" s="91" t="str">
        <x:v>整理自既有人工参考。</x:v>
      </x:c>
    </x:row>
    <x:row r="21">
      <x:c r="A21" s="89" t="str">
        <x:v>P → Q</x:v>
      </x:c>
      <x:c r="B21" s="90" t="str">
        <x:v>TRIMMED</x:v>
      </x:c>
      <x:c r="C21" s="90" t="str">
        <x:v>CanESM5</x:v>
      </x:c>
      <x:c r="D21" s="90" t="str">
        <x:v>CD</x:v>
      </x:c>
      <x:c r="E21" s="90" t="str">
        <x:v>(3,5)</x:v>
      </x:c>
      <x:c r="F21" s="90" t="str">
        <x:v>No branch</x:v>
      </x:c>
      <x:c r="G21" s="90" t="str">
        <x:v>Medium</x:v>
      </x:c>
      <x:c r="H21" s="91" t="str">
        <x:v>整理自既有人工参考。</x:v>
      </x:c>
    </x:row>
    <x:row r="22">
      <x:c r="A22" s="89" t="str">
        <x:v>P → Q</x:v>
      </x:c>
      <x:c r="B22" s="90" t="str">
        <x:v>TRIMMED</x:v>
      </x:c>
      <x:c r="C22" s="90" t="str">
        <x:v>CanESM5</x:v>
      </x:c>
      <x:c r="D22" s="90" t="str">
        <x:v>LI</x:v>
      </x:c>
      <x:c r="E22" s="90" t="str">
        <x:v>(3,6)</x:v>
      </x:c>
      <x:c r="F22" s="90" t="str">
        <x:v>No branch</x:v>
      </x:c>
      <x:c r="G22" s="90" t="str">
        <x:v>Medium</x:v>
      </x:c>
      <x:c r="H22" s="91" t="str">
        <x:v>整理自既有人工参考。</x:v>
      </x:c>
    </x:row>
    <x:row r="23">
      <x:c r="A23" s="89" t="str">
        <x:v>P → Q</x:v>
      </x:c>
      <x:c r="B23" s="90" t="str">
        <x:v>TRIMMED</x:v>
      </x:c>
      <x:c r="C23" s="90" t="str">
        <x:v>GFDL-CM4</x:v>
      </x:c>
      <x:c r="D23" s="90" t="str">
        <x:v>all_land</x:v>
      </x:c>
      <x:c r="E23" s="90" t="str">
        <x:v>(4,1)</x:v>
      </x:c>
      <x:c r="F23" s="90" t="str">
        <x:v>Uncertain</x:v>
      </x:c>
      <x:c r="G23" s="90" t="str">
        <x:v>Low</x:v>
      </x:c>
      <x:c r="H23" s="91" t="str">
        <x:v>后期红框与早期判断存在冲突，保留 Uncertain。</x:v>
      </x:c>
    </x:row>
    <x:row r="24">
      <x:c r="A24" s="89" t="str">
        <x:v>P → Q</x:v>
      </x:c>
      <x:c r="B24" s="90" t="str">
        <x:v>TRIMMED</x:v>
      </x:c>
      <x:c r="C24" s="90" t="str">
        <x:v>GFDL-CM4</x:v>
      </x:c>
      <x:c r="D24" s="90" t="str">
        <x:v>WW</x:v>
      </x:c>
      <x:c r="E24" s="90" t="str">
        <x:v>(4,2)</x:v>
      </x:c>
      <x:c r="F24" s="90" t="str">
        <x:v>No branch</x:v>
      </x:c>
      <x:c r="G24" s="90" t="str">
        <x:v>Medium</x:v>
      </x:c>
      <x:c r="H24" s="91" t="str">
        <x:v>整理自既有人工参考。</x:v>
      </x:c>
    </x:row>
    <x:row r="25">
      <x:c r="A25" s="89" t="str">
        <x:v>P → Q</x:v>
      </x:c>
      <x:c r="B25" s="90" t="str">
        <x:v>TRIMMED</x:v>
      </x:c>
      <x:c r="C25" s="90" t="str">
        <x:v>GFDL-CM4</x:v>
      </x:c>
      <x:c r="D25" s="90" t="str">
        <x:v>WD</x:v>
      </x:c>
      <x:c r="E25" s="90" t="str">
        <x:v>(4,3)</x:v>
      </x:c>
      <x:c r="F25" s="90" t="str">
        <x:v>No branch</x:v>
      </x:c>
      <x:c r="G25" s="90" t="str">
        <x:v>Medium</x:v>
      </x:c>
      <x:c r="H25" s="91" t="str">
        <x:v>整理自既有人工参考。</x:v>
      </x:c>
    </x:row>
    <x:row r="26">
      <x:c r="A26" s="89" t="str">
        <x:v>P → Q</x:v>
      </x:c>
      <x:c r="B26" s="90" t="str">
        <x:v>TRIMMED</x:v>
      </x:c>
      <x:c r="C26" s="90" t="str">
        <x:v>GFDL-CM4</x:v>
      </x:c>
      <x:c r="D26" s="90" t="str">
        <x:v>CW</x:v>
      </x:c>
      <x:c r="E26" s="90" t="str">
        <x:v>(4,4)</x:v>
      </x:c>
      <x:c r="F26" s="90" t="str">
        <x:v>No branch</x:v>
      </x:c>
      <x:c r="G26" s="90" t="str">
        <x:v>Medium</x:v>
      </x:c>
      <x:c r="H26" s="91" t="str">
        <x:v>整理自既有人工参考。</x:v>
      </x:c>
    </x:row>
    <x:row r="27">
      <x:c r="A27" s="89" t="str">
        <x:v>P → Q</x:v>
      </x:c>
      <x:c r="B27" s="90" t="str">
        <x:v>TRIMMED</x:v>
      </x:c>
      <x:c r="C27" s="90" t="str">
        <x:v>GFDL-CM4</x:v>
      </x:c>
      <x:c r="D27" s="90" t="str">
        <x:v>CD</x:v>
      </x:c>
      <x:c r="E27" s="90" t="str">
        <x:v>(4,5)</x:v>
      </x:c>
      <x:c r="F27" s="90" t="str">
        <x:v>No branch</x:v>
      </x:c>
      <x:c r="G27" s="90" t="str">
        <x:v>Medium</x:v>
      </x:c>
      <x:c r="H27" s="91" t="str">
        <x:v>整理自既有人工参考。</x:v>
      </x:c>
    </x:row>
    <x:row r="28">
      <x:c r="A28" s="89" t="str">
        <x:v>P → Q</x:v>
      </x:c>
      <x:c r="B28" s="90" t="str">
        <x:v>TRIMMED</x:v>
      </x:c>
      <x:c r="C28" s="90" t="str">
        <x:v>GFDL-CM4</x:v>
      </x:c>
      <x:c r="D28" s="90" t="str">
        <x:v>LI</x:v>
      </x:c>
      <x:c r="E28" s="90" t="str">
        <x:v>(4,6)</x:v>
      </x:c>
      <x:c r="F28" s="90" t="str">
        <x:v>Branch</x:v>
      </x:c>
      <x:c r="G28" s="90" t="str">
        <x:v>High</x:v>
      </x:c>
      <x:c r="H28" s="91" t="str">
        <x:v>用户后期明确确认的 Branch（4,6）；旧参考表曾标 Uncertain。</x:v>
      </x:c>
    </x:row>
    <x:row r="29">
      <x:c r="A29" s="89" t="str">
        <x:v>P → Q</x:v>
      </x:c>
      <x:c r="B29" s="90" t="str">
        <x:v>TRIMMED</x:v>
      </x:c>
      <x:c r="C29" s="90" t="str">
        <x:v>CMCC-CM2-SR5</x:v>
      </x:c>
      <x:c r="D29" s="90" t="str">
        <x:v>all_land</x:v>
      </x:c>
      <x:c r="E29" s="90" t="str">
        <x:v>(5,1)</x:v>
      </x:c>
      <x:c r="F29" s="90" t="str">
        <x:v>No branch</x:v>
      </x:c>
      <x:c r="G29" s="90" t="str">
        <x:v>Medium</x:v>
      </x:c>
      <x:c r="H29" s="91" t="str">
        <x:v>整理自既有人工参考。</x:v>
      </x:c>
    </x:row>
    <x:row r="30">
      <x:c r="A30" s="89" t="str">
        <x:v>P → Q</x:v>
      </x:c>
      <x:c r="B30" s="90" t="str">
        <x:v>TRIMMED</x:v>
      </x:c>
      <x:c r="C30" s="90" t="str">
        <x:v>CMCC-CM2-SR5</x:v>
      </x:c>
      <x:c r="D30" s="90" t="str">
        <x:v>WW</x:v>
      </x:c>
      <x:c r="E30" s="90" t="str">
        <x:v>(5,2)</x:v>
      </x:c>
      <x:c r="F30" s="90" t="str">
        <x:v>No branch</x:v>
      </x:c>
      <x:c r="G30" s="90" t="str">
        <x:v>Medium</x:v>
      </x:c>
      <x:c r="H30" s="91" t="str">
        <x:v>整理自既有人工参考。</x:v>
      </x:c>
    </x:row>
    <x:row r="31">
      <x:c r="A31" s="89" t="str">
        <x:v>P → Q</x:v>
      </x:c>
      <x:c r="B31" s="90" t="str">
        <x:v>TRIMMED</x:v>
      </x:c>
      <x:c r="C31" s="90" t="str">
        <x:v>CMCC-CM2-SR5</x:v>
      </x:c>
      <x:c r="D31" s="90" t="str">
        <x:v>WD</x:v>
      </x:c>
      <x:c r="E31" s="90" t="str">
        <x:v>(5,3)</x:v>
      </x:c>
      <x:c r="F31" s="90" t="str">
        <x:v>No branch</x:v>
      </x:c>
      <x:c r="G31" s="90" t="str">
        <x:v>Medium</x:v>
      </x:c>
      <x:c r="H31" s="91" t="str">
        <x:v>整理自既有人工参考。</x:v>
      </x:c>
    </x:row>
    <x:row r="32">
      <x:c r="A32" s="89" t="str">
        <x:v>P → Q</x:v>
      </x:c>
      <x:c r="B32" s="90" t="str">
        <x:v>TRIMMED</x:v>
      </x:c>
      <x:c r="C32" s="90" t="str">
        <x:v>CMCC-CM2-SR5</x:v>
      </x:c>
      <x:c r="D32" s="90" t="str">
        <x:v>CW</x:v>
      </x:c>
      <x:c r="E32" s="90" t="str">
        <x:v>(5,4)</x:v>
      </x:c>
      <x:c r="F32" s="90" t="str">
        <x:v>No branch</x:v>
      </x:c>
      <x:c r="G32" s="90" t="str">
        <x:v>Medium</x:v>
      </x:c>
      <x:c r="H32" s="91" t="str">
        <x:v>整理自既有人工参考。</x:v>
      </x:c>
    </x:row>
    <x:row r="33">
      <x:c r="A33" s="89" t="str">
        <x:v>P → Q</x:v>
      </x:c>
      <x:c r="B33" s="90" t="str">
        <x:v>TRIMMED</x:v>
      </x:c>
      <x:c r="C33" s="90" t="str">
        <x:v>CMCC-CM2-SR5</x:v>
      </x:c>
      <x:c r="D33" s="90" t="str">
        <x:v>CD</x:v>
      </x:c>
      <x:c r="E33" s="90" t="str">
        <x:v>(5,5)</x:v>
      </x:c>
      <x:c r="F33" s="90" t="str">
        <x:v>No branch</x:v>
      </x:c>
      <x:c r="G33" s="90" t="str">
        <x:v>Medium</x:v>
      </x:c>
      <x:c r="H33" s="91" t="str">
        <x:v>整理自既有人工参考。</x:v>
      </x:c>
    </x:row>
    <x:row r="34">
      <x:c r="A34" s="89" t="str">
        <x:v>P → Q</x:v>
      </x:c>
      <x:c r="B34" s="90" t="str">
        <x:v>TRIMMED</x:v>
      </x:c>
      <x:c r="C34" s="90" t="str">
        <x:v>CMCC-CM2-SR5</x:v>
      </x:c>
      <x:c r="D34" s="90" t="str">
        <x:v>LI</x:v>
      </x:c>
      <x:c r="E34" s="90" t="str">
        <x:v>(5,6)</x:v>
      </x:c>
      <x:c r="F34" s="90" t="str">
        <x:v>Branch</x:v>
      </x:c>
      <x:c r="G34" s="90" t="str">
        <x:v>High</x:v>
      </x:c>
      <x:c r="H34" s="91" t="str">
        <x:v>用户明确确认的 Branch（5,6）。</x:v>
      </x:c>
    </x:row>
    <x:row r="35">
      <x:c r="A35" s="89" t="str">
        <x:v>P → Q</x:v>
      </x:c>
      <x:c r="B35" s="90" t="str">
        <x:v>RAW</x:v>
      </x:c>
      <x:c r="C35" s="90" t="str">
        <x:v>CanESM5</x:v>
      </x:c>
      <x:c r="D35" s="90" t="str">
        <x:v>all_land</x:v>
      </x:c>
      <x:c r="E35" s="90" t="str">
        <x:v>(3,1)</x:v>
      </x:c>
      <x:c r="F35" s="90" t="str">
        <x:v>No branch</x:v>
      </x:c>
      <x:c r="G35" s="90" t="str">
        <x:v>High</x:v>
      </x:c>
      <x:c r="H35" s="91" t="str">
        <x:v>用户明确要求不要分成 Branch。</x:v>
      </x:c>
    </x:row>
    <x:row r="36">
      <x:c r="A36" s="89" t="str">
        <x:v>P → Q</x:v>
      </x:c>
      <x:c r="B36" s="90" t="str">
        <x:v>RAW</x:v>
      </x:c>
      <x:c r="C36" s="90" t="str">
        <x:v>GFDL-CM4</x:v>
      </x:c>
      <x:c r="D36" s="90" t="str">
        <x:v>LI</x:v>
      </x:c>
      <x:c r="E36" s="90" t="str">
        <x:v>(4,6)</x:v>
      </x:c>
      <x:c r="F36" s="90" t="str">
        <x:v>Branch</x:v>
      </x:c>
      <x:c r="G36" s="90" t="str">
        <x:v>High</x:v>
      </x:c>
      <x:c r="H36" s="91" t="str">
        <x:v>用户确认的 RAW Branch。</x:v>
      </x:c>
    </x:row>
    <x:row r="37">
      <x:c r="A37" s="89" t="str">
        <x:v>P → Q</x:v>
      </x:c>
      <x:c r="B37" s="90" t="str">
        <x:v>RAW</x:v>
      </x:c>
      <x:c r="C37" s="90" t="str">
        <x:v>CMCC-CM2-SR5</x:v>
      </x:c>
      <x:c r="D37" s="90" t="str">
        <x:v>LI</x:v>
      </x:c>
      <x:c r="E37" s="90" t="str">
        <x:v>(5,6)</x:v>
      </x:c>
      <x:c r="F37" s="90" t="str">
        <x:v>Branch</x:v>
      </x:c>
      <x:c r="G37" s="90" t="str">
        <x:v>High</x:v>
      </x:c>
      <x:c r="H37" s="91" t="str">
        <x:v>用户确认的 RAW Branch。</x:v>
      </x:c>
    </x:row>
    <x:row r="38">
      <x:c r="A38" s="89" t="str">
        <x:v>ET → Q</x:v>
      </x:c>
      <x:c r="B38" s="90" t="str">
        <x:v>RAW</x:v>
      </x:c>
      <x:c r="C38" s="90" t="str">
        <x:v>CESM2</x:v>
      </x:c>
      <x:c r="D38" s="90" t="str">
        <x:v>CD</x:v>
      </x:c>
      <x:c r="E38" s="90" t="str">
        <x:v>(1,5)</x:v>
      </x:c>
      <x:c r="F38" s="90" t="str">
        <x:v>No branch</x:v>
      </x:c>
      <x:c r="G38" s="90" t="str">
        <x:v>Medium</x:v>
      </x:c>
      <x:c r="H38" s="91" t="str">
        <x:v>用户认为扇形/异方差结构不应作为 Branch。</x:v>
      </x:c>
    </x:row>
    <x:row r="39">
      <x:c r="A39" s="89" t="str">
        <x:v>rsds → Q</x:v>
      </x:c>
      <x:c r="B39" s="90" t="str">
        <x:v>RAW</x:v>
      </x:c>
      <x:c r="C39" s="90" t="str">
        <x:v>CESM2</x:v>
      </x:c>
      <x:c r="D39" s="90" t="str">
        <x:v>WW</x:v>
      </x:c>
      <x:c r="E39" s="90" t="str">
        <x:v>(1,2)</x:v>
      </x:c>
      <x:c r="F39" s="90" t="str">
        <x:v>No branch</x:v>
      </x:c>
      <x:c r="G39" s="90" t="str">
        <x:v>High</x:v>
      </x:c>
      <x:c r="H39" s="91" t="str">
        <x:v>用户明确认为是误报。</x:v>
      </x:c>
    </x:row>
    <x:row r="40">
      <x:c r="A40" s="89" t="str">
        <x:v>rlds → Q</x:v>
      </x:c>
      <x:c r="B40" s="90" t="str">
        <x:v>RAW</x:v>
      </x:c>
      <x:c r="C40" s="90" t="str">
        <x:v>CESM2</x:v>
      </x:c>
      <x:c r="D40" s="90" t="str">
        <x:v>WW</x:v>
      </x:c>
      <x:c r="E40" s="90" t="str">
        <x:v>(1,2)</x:v>
      </x:c>
      <x:c r="F40" s="90" t="str">
        <x:v>No branch</x:v>
      </x:c>
      <x:c r="G40" s="90" t="str">
        <x:v>Medium</x:v>
      </x:c>
      <x:c r="H40" s="91" t="str">
        <x:v>用户要求在不增加阈值的情况下筛掉。</x:v>
      </x:c>
    </x:row>
    <x:row r="41">
      <x:c r="A41" s="89" t="str">
        <x:v>hfls → Q</x:v>
      </x:c>
      <x:c r="B41" s="90" t="str">
        <x:v>RAW</x:v>
      </x:c>
      <x:c r="C41" s="90" t="str">
        <x:v>CESM2</x:v>
      </x:c>
      <x:c r="D41" s="90" t="str">
        <x:v>all_land</x:v>
      </x:c>
      <x:c r="E41" s="90" t="str">
        <x:v>(1,1)</x:v>
      </x:c>
      <x:c r="F41" s="90" t="str">
        <x:v>No branch</x:v>
      </x:c>
      <x:c r="G41" s="90" t="str">
        <x:v>Medium</x:v>
      </x:c>
      <x:c r="H41" s="91" t="str">
        <x:v>用户认为宽带/扇形结构不是 Branch。</x:v>
      </x:c>
    </x:row>
    <x:row r="42">
      <x:c r="A42" s="89" t="str">
        <x:v>hfss → Q</x:v>
      </x:c>
      <x:c r="B42" s="90" t="str">
        <x:v>RAW</x:v>
      </x:c>
      <x:c r="C42" s="90" t="str">
        <x:v>CESM2</x:v>
      </x:c>
      <x:c r="D42" s="90" t="str">
        <x:v>WD</x:v>
      </x:c>
      <x:c r="E42" s="90" t="str">
        <x:v>(1,3)</x:v>
      </x:c>
      <x:c r="F42" s="90" t="str">
        <x:v>No branch</x:v>
      </x:c>
      <x:c r="G42" s="90" t="str">
        <x:v>Medium</x:v>
      </x:c>
      <x:c r="H42" s="91" t="str">
        <x:v>用户红框指出不应为 Branch。</x:v>
      </x:c>
    </x:row>
    <x:row r="43">
      <x:c r="A43" s="89" t="str">
        <x:v>hfss → Q</x:v>
      </x:c>
      <x:c r="B43" s="90" t="str">
        <x:v>TRIMMED</x:v>
      </x:c>
      <x:c r="C43" s="90" t="str">
        <x:v>CESM2</x:v>
      </x:c>
      <x:c r="D43" s="90" t="str">
        <x:v>WD</x:v>
      </x:c>
      <x:c r="E43" s="90" t="str">
        <x:v>(1,3)</x:v>
      </x:c>
      <x:c r="F43" s="90" t="str">
        <x:v>No branch</x:v>
      </x:c>
      <x:c r="G43" s="90" t="str">
        <x:v>Medium</x:v>
      </x:c>
      <x:c r="H43" s="91" t="str">
        <x:v>用户红框指出不应为 Branch。</x:v>
      </x:c>
    </x:row>
    <x:row r="44">
      <x:c r="A44" s="89" t="str">
        <x:v>hfss → Q</x:v>
      </x:c>
      <x:c r="B44" s="90" t="str">
        <x:v>TRIMMED</x:v>
      </x:c>
      <x:c r="C44" s="90" t="str">
        <x:v>CESM2</x:v>
      </x:c>
      <x:c r="D44" s="90" t="str">
        <x:v>LI</x:v>
      </x:c>
      <x:c r="E44" s="90" t="str">
        <x:v>(1,6)</x:v>
      </x:c>
      <x:c r="F44" s="90" t="str">
        <x:v>No branch</x:v>
      </x:c>
      <x:c r="G44" s="90" t="str">
        <x:v>Medium</x:v>
      </x:c>
      <x:c r="H44" s="91" t="str">
        <x:v>用户红框指出不应为 Branch。</x:v>
      </x:c>
    </x:row>
    <x:row r="45">
      <x:c r="A45" s="89" t="str">
        <x:v>hfss → Q</x:v>
      </x:c>
      <x:c r="B45" s="90" t="str">
        <x:v>TRIMMED</x:v>
      </x:c>
      <x:c r="C45" s="90" t="str">
        <x:v>GFDL-CM4</x:v>
      </x:c>
      <x:c r="D45" s="90" t="str">
        <x:v>LI</x:v>
      </x:c>
      <x:c r="E45" s="90" t="str">
        <x:v>(4,6)</x:v>
      </x:c>
      <x:c r="F45" s="90" t="str">
        <x:v>No branch</x:v>
      </x:c>
      <x:c r="G45" s="90" t="str">
        <x:v>Medium</x:v>
      </x:c>
      <x:c r="H45" s="91" t="str">
        <x:v>同组截图中被作为误报讨论。</x:v>
      </x:c>
    </x:row>
    <x:row r="46">
      <x:c r="A46" s="89" t="str">
        <x:v>P → ET</x:v>
      </x:c>
      <x:c r="B46" s="90" t="str">
        <x:v>RAW</x:v>
      </x:c>
      <x:c r="C46" s="90" t="str">
        <x:v>CESM2</x:v>
      </x:c>
      <x:c r="D46" s="90" t="str">
        <x:v>LI</x:v>
      </x:c>
      <x:c r="E46" s="90" t="str">
        <x:v>(1,6)</x:v>
      </x:c>
      <x:c r="F46" s="90" t="str">
        <x:v>No branch</x:v>
      </x:c>
      <x:c r="G46" s="90" t="str">
        <x:v>Medium</x:v>
      </x:c>
      <x:c r="H46" s="91" t="str">
        <x:v>用户红框指出不应为 Branch。</x:v>
      </x:c>
    </x:row>
    <x:row r="47">
      <x:c r="A47" s="89" t="str">
        <x:v>P → ET</x:v>
      </x:c>
      <x:c r="B47" s="90" t="str">
        <x:v>RAW</x:v>
      </x:c>
      <x:c r="C47" s="90" t="str">
        <x:v>CMCC-CM2-SR5</x:v>
      </x:c>
      <x:c r="D47" s="90" t="str">
        <x:v>LI</x:v>
      </x:c>
      <x:c r="E47" s="90" t="str">
        <x:v>(5,6)</x:v>
      </x:c>
      <x:c r="F47" s="90" t="str">
        <x:v>No branch</x:v>
      </x:c>
      <x:c r="G47" s="90" t="str">
        <x:v>Medium</x:v>
      </x:c>
      <x:c r="H47" s="91" t="str">
        <x:v>用户红框指出不应为 Branch。</x:v>
      </x:c>
    </x:row>
    <x:row r="48">
      <x:c r="A48" s="89" t="str">
        <x:v>mrsos → Q</x:v>
      </x:c>
      <x:c r="B48" s="90" t="str">
        <x:v>TRIMMED</x:v>
      </x:c>
      <x:c r="C48" s="90" t="str">
        <x:v>CMCC-CM2-SR5</x:v>
      </x:c>
      <x:c r="D48" s="90" t="str">
        <x:v>LI</x:v>
      </x:c>
      <x:c r="E48" s="90" t="str">
        <x:v>(5,6)</x:v>
      </x:c>
      <x:c r="F48" s="90" t="str">
        <x:v>No branch</x:v>
      </x:c>
      <x:c r="G48" s="90" t="str">
        <x:v>Medium</x:v>
      </x:c>
      <x:c r="H48" s="91" t="str">
        <x:v>用户认为该面板不应为 Branch。</x:v>
      </x:c>
    </x:row>
    <x:row r="49">
      <x:c r="A49" s="89" t="str">
        <x:v>rlus → Q</x:v>
      </x:c>
      <x:c r="B49" s="90" t="str">
        <x:v>RAW</x:v>
      </x:c>
      <x:c r="C49" s="90" t="str">
        <x:v>CESM2</x:v>
      </x:c>
      <x:c r="D49" s="90" t="str">
        <x:v>LI</x:v>
      </x:c>
      <x:c r="E49" s="90" t="str">
        <x:v>(1,6)</x:v>
      </x:c>
      <x:c r="F49" s="90" t="str">
        <x:v>No branch</x:v>
      </x:c>
      <x:c r="G49" s="90" t="str">
        <x:v>High</x:v>
      </x:c>
      <x:c r="H49" s="91" t="str">
        <x:v>用户明确表示该组候选全部不是 Branch。</x:v>
      </x:c>
    </x:row>
    <x:row r="50">
      <x:c r="A50" s="89" t="str">
        <x:v>rlus → Q</x:v>
      </x:c>
      <x:c r="B50" s="90" t="str">
        <x:v>RAW</x:v>
      </x:c>
      <x:c r="C50" s="90" t="str">
        <x:v>GFDL-CM4</x:v>
      </x:c>
      <x:c r="D50" s="90" t="str">
        <x:v>all_land</x:v>
      </x:c>
      <x:c r="E50" s="90" t="str">
        <x:v>(4,1)</x:v>
      </x:c>
      <x:c r="F50" s="90" t="str">
        <x:v>No branch</x:v>
      </x:c>
      <x:c r="G50" s="90" t="str">
        <x:v>High</x:v>
      </x:c>
      <x:c r="H50" s="91" t="str">
        <x:v>用户明确表示该组候选全部不是 Branch。</x:v>
      </x:c>
    </x:row>
    <x:row r="51">
      <x:c r="A51" s="89" t="str">
        <x:v>rlus → Q</x:v>
      </x:c>
      <x:c r="B51" s="90" t="str">
        <x:v>RAW</x:v>
      </x:c>
      <x:c r="C51" s="90" t="str">
        <x:v>GFDL-CM4</x:v>
      </x:c>
      <x:c r="D51" s="90" t="str">
        <x:v>WD</x:v>
      </x:c>
      <x:c r="E51" s="90" t="str">
        <x:v>(4,3)</x:v>
      </x:c>
      <x:c r="F51" s="90" t="str">
        <x:v>No branch</x:v>
      </x:c>
      <x:c r="G51" s="90" t="str">
        <x:v>High</x:v>
      </x:c>
      <x:c r="H51" s="91" t="str">
        <x:v>用户明确表示该组候选全部不是 Branch。</x:v>
      </x:c>
    </x:row>
    <x:row r="52">
      <x:c r="A52" s="89" t="str">
        <x:v>rlus → Q</x:v>
      </x:c>
      <x:c r="B52" s="90" t="str">
        <x:v>RAW</x:v>
      </x:c>
      <x:c r="C52" s="90" t="str">
        <x:v>GFDL-CM4</x:v>
      </x:c>
      <x:c r="D52" s="90" t="str">
        <x:v>LI</x:v>
      </x:c>
      <x:c r="E52" s="90" t="str">
        <x:v>(4,6)</x:v>
      </x:c>
      <x:c r="F52" s="90" t="str">
        <x:v>No branch</x:v>
      </x:c>
      <x:c r="G52" s="90" t="str">
        <x:v>High</x:v>
      </x:c>
      <x:c r="H52" s="91" t="str">
        <x:v>用户明确表示该组候选全部不是 Branch。</x:v>
      </x:c>
    </x:row>
    <x:row r="53">
      <x:c r="A53" s="89" t="str">
        <x:v>rlus → Q</x:v>
      </x:c>
      <x:c r="B53" s="90" t="str">
        <x:v>RAW</x:v>
      </x:c>
      <x:c r="C53" s="90" t="str">
        <x:v>CMCC-CM2-SR5</x:v>
      </x:c>
      <x:c r="D53" s="90" t="str">
        <x:v>WW</x:v>
      </x:c>
      <x:c r="E53" s="90" t="str">
        <x:v>(5,2)</x:v>
      </x:c>
      <x:c r="F53" s="90" t="str">
        <x:v>No branch</x:v>
      </x:c>
      <x:c r="G53" s="90" t="str">
        <x:v>High</x:v>
      </x:c>
      <x:c r="H53" s="91" t="str">
        <x:v>用户明确表示该组候选全部不是 Branch。</x:v>
      </x:c>
    </x:row>
    <x:row r="54">
      <x:c r="A54" s="89" t="str">
        <x:v>rlus → Q</x:v>
      </x:c>
      <x:c r="B54" s="90" t="str">
        <x:v>TRIMMED</x:v>
      </x:c>
      <x:c r="C54" s="90" t="str">
        <x:v>CESM2</x:v>
      </x:c>
      <x:c r="D54" s="90" t="str">
        <x:v>all_land</x:v>
      </x:c>
      <x:c r="E54" s="90" t="str">
        <x:v>(1,1)</x:v>
      </x:c>
      <x:c r="F54" s="90" t="str">
        <x:v>No branch</x:v>
      </x:c>
      <x:c r="G54" s="90" t="str">
        <x:v>High</x:v>
      </x:c>
      <x:c r="H54" s="91" t="str">
        <x:v>用户明确表示该组候选全部不是 Branch。</x:v>
      </x:c>
    </x:row>
    <x:row r="55">
      <x:c r="A55" s="89" t="str">
        <x:v>rlus → Q</x:v>
      </x:c>
      <x:c r="B55" s="90" t="str">
        <x:v>TRIMMED</x:v>
      </x:c>
      <x:c r="C55" s="90" t="str">
        <x:v>CESM2</x:v>
      </x:c>
      <x:c r="D55" s="90" t="str">
        <x:v>LI</x:v>
      </x:c>
      <x:c r="E55" s="90" t="str">
        <x:v>(1,6)</x:v>
      </x:c>
      <x:c r="F55" s="90" t="str">
        <x:v>No branch</x:v>
      </x:c>
      <x:c r="G55" s="90" t="str">
        <x:v>High</x:v>
      </x:c>
      <x:c r="H55" s="91" t="str">
        <x:v>用户明确表示该组候选全部不是 Branch。</x:v>
      </x:c>
    </x:row>
    <x:row r="56">
      <x:c r="A56" s="89" t="str">
        <x:v>rlus → Q</x:v>
      </x:c>
      <x:c r="B56" s="90" t="str">
        <x:v>TRIMMED</x:v>
      </x:c>
      <x:c r="C56" s="90" t="str">
        <x:v>GFDL-CM4</x:v>
      </x:c>
      <x:c r="D56" s="90" t="str">
        <x:v>all_land</x:v>
      </x:c>
      <x:c r="E56" s="90" t="str">
        <x:v>(4,1)</x:v>
      </x:c>
      <x:c r="F56" s="90" t="str">
        <x:v>No branch</x:v>
      </x:c>
      <x:c r="G56" s="90" t="str">
        <x:v>High</x:v>
      </x:c>
      <x:c r="H56" s="91" t="str">
        <x:v>用户明确表示该组候选全部不是 Branch。</x:v>
      </x:c>
    </x:row>
    <x:row r="57">
      <x:c r="A57" s="89" t="str">
        <x:v>rlus → Q</x:v>
      </x:c>
      <x:c r="B57" s="90" t="str">
        <x:v>TRIMMED</x:v>
      </x:c>
      <x:c r="C57" s="90" t="str">
        <x:v>CMCC-CM2-SR5</x:v>
      </x:c>
      <x:c r="D57" s="90" t="str">
        <x:v>WW</x:v>
      </x:c>
      <x:c r="E57" s="90" t="str">
        <x:v>(5,2)</x:v>
      </x:c>
      <x:c r="F57" s="90" t="str">
        <x:v>No branch</x:v>
      </x:c>
      <x:c r="G57" s="90" t="str">
        <x:v>High</x:v>
      </x:c>
      <x:c r="H57" s="91" t="str">
        <x:v>用户明确表示该组候选全部不是 Branch。</x:v>
      </x:c>
    </x:row>
    <x:row r="58">
      <x:c r="A58" s="89" t="str">
        <x:v>mrros → Q</x:v>
      </x:c>
      <x:c r="B58" s="90" t="str">
        <x:v>TRIMMED</x:v>
      </x:c>
      <x:c r="C58" s="90" t="str">
        <x:v>CESM2</x:v>
      </x:c>
      <x:c r="D58" s="90" t="str">
        <x:v>WD</x:v>
      </x:c>
      <x:c r="E58" s="90" t="str">
        <x:v>(1,3)</x:v>
      </x:c>
      <x:c r="F58" s="90" t="str">
        <x:v>Uncertain</x:v>
      </x:c>
      <x:c r="G58" s="90" t="str">
        <x:v>Low</x:v>
      </x:c>
      <x:c r="H58" s="91" t="str">
        <x:v>用户询问为什么不是 Branch；先保留为 Uncertain。</x:v>
      </x:c>
    </x:row>
    <x:row r="59">
      <x:c r="A59" s="89" t="str">
        <x:v>mrros → Q</x:v>
      </x:c>
      <x:c r="B59" s="90" t="str">
        <x:v>TRIMMED</x:v>
      </x:c>
      <x:c r="C59" s="90" t="str">
        <x:v>CESM2</x:v>
      </x:c>
      <x:c r="D59" s="90" t="str">
        <x:v>LI</x:v>
      </x:c>
      <x:c r="E59" s="90" t="str">
        <x:v>(1,6)</x:v>
      </x:c>
      <x:c r="F59" s="90" t="str">
        <x:v>Uncertain</x:v>
      </x:c>
      <x:c r="G59" s="90" t="str">
        <x:v>Low</x:v>
      </x:c>
      <x:c r="H59" s="91" t="str">
        <x:v>用户认为也可能是 Branch；尚未最终确认。</x:v>
      </x:c>
    </x:row>
    <x:row r="60">
      <x:c r="A60" s="89" t="str">
        <x:v>mrros → Q</x:v>
      </x:c>
      <x:c r="B60" s="90" t="str">
        <x:v>TRIMMED</x:v>
      </x:c>
      <x:c r="C60" s="90" t="str">
        <x:v>CanESM5</x:v>
      </x:c>
      <x:c r="D60" s="90" t="str">
        <x:v>CW</x:v>
      </x:c>
      <x:c r="E60" s="90" t="str">
        <x:v>(3,4)</x:v>
      </x:c>
      <x:c r="F60" s="90" t="str">
        <x:v>Candidate</x:v>
      </x:c>
      <x:c r="G60" s="90" t="str">
        <x:v>High</x:v>
      </x:c>
      <x:c r="H60" s="91" t="str">
        <x:v>用户明确认为是局部分支，标为 Candidate。</x:v>
      </x:c>
    </x:row>
    <x:row r="61">
      <x:c r="A61" s="89" t="str">
        <x:v>hfls → Q</x:v>
      </x:c>
      <x:c r="B61" s="90" t="str">
        <x:v>TRIMMED</x:v>
      </x:c>
      <x:c r="C61" s="90" t="str">
        <x:v>CESM2</x:v>
      </x:c>
      <x:c r="D61" s="90" t="str">
        <x:v>LI</x:v>
      </x:c>
      <x:c r="E61" s="90" t="str">
        <x:v>(1,6)</x:v>
      </x:c>
      <x:c r="F61" s="90" t="str">
        <x:v>Candidate</x:v>
      </x:c>
      <x:c r="G61" s="90" t="str">
        <x:v>Medium</x:v>
      </x:c>
      <x:c r="H61" s="91" t="str">
        <x:v>用户希望这类小分支能够被接受；暂列 Candidate。</x:v>
      </x:c>
    </x:row>
    <x:row r="62">
      <x:c r="A62" s="89" t="str">
        <x:v>hfls → Q</x:v>
      </x:c>
      <x:c r="B62" s="90" t="str">
        <x:v>TRIMMED</x:v>
      </x:c>
      <x:c r="C62" s="90" t="str">
        <x:v>GFDL-CM4</x:v>
      </x:c>
      <x:c r="D62" s="90" t="str">
        <x:v>LI</x:v>
      </x:c>
      <x:c r="E62" s="90" t="str">
        <x:v>(4,6)</x:v>
      </x:c>
      <x:c r="F62" s="90" t="str">
        <x:v>Candidate</x:v>
      </x:c>
      <x:c r="G62" s="90" t="str">
        <x:v>Medium</x:v>
      </x:c>
      <x:c r="H62" s="91" t="str">
        <x:v>用户希望这类小分支能够被接受；暂列 Candidate。</x:v>
      </x:c>
    </x:row>
    <x:row r="63">
      <x:c r="A63" s="89" t="str">
        <x:v>prsn → Q</x:v>
      </x:c>
      <x:c r="B63" s="90" t="str">
        <x:v>TRIMMED</x:v>
      </x:c>
      <x:c r="C63" s="90" t="str">
        <x:v>CESM2</x:v>
      </x:c>
      <x:c r="D63" s="90" t="str">
        <x:v>all_land</x:v>
      </x:c>
      <x:c r="E63" s="90" t="str">
        <x:v>(1,1)</x:v>
      </x:c>
      <x:c r="F63" s="90" t="str">
        <x:v>Uncertain</x:v>
      </x:c>
      <x:c r="G63" s="90" t="str">
        <x:v>Low</x:v>
      </x:c>
      <x:c r="H63" s="91" t="str">
        <x:v>用户红框指出可能是漏检 Branch，尚未最终确认。</x:v>
      </x:c>
    </x:row>
    <x:row r="64">
      <x:c r="A64" s="89" t="str">
        <x:v>prsn → Q</x:v>
      </x:c>
      <x:c r="B64" s="90" t="str">
        <x:v>TRIMMED</x:v>
      </x:c>
      <x:c r="C64" s="90" t="str">
        <x:v>GFDL-CM4</x:v>
      </x:c>
      <x:c r="D64" s="90" t="str">
        <x:v>all_land</x:v>
      </x:c>
      <x:c r="E64" s="90" t="str">
        <x:v>(4,1)</x:v>
      </x:c>
      <x:c r="F64" s="90" t="str">
        <x:v>Uncertain</x:v>
      </x:c>
      <x:c r="G64" s="90" t="str">
        <x:v>Low</x:v>
      </x:c>
      <x:c r="H64" s="91" t="str">
        <x:v>用户红框指出可能是漏检 Branch，尚未最终确认。</x:v>
      </x:c>
    </x:row>
    <x:row r="65">
      <x:c r="A65" s="89" t="str">
        <x:v>prsn → Q</x:v>
      </x:c>
      <x:c r="B65" s="90" t="str">
        <x:v>TRIMMED</x:v>
      </x:c>
      <x:c r="C65" s="90" t="str">
        <x:v>GFDL-CM4</x:v>
      </x:c>
      <x:c r="D65" s="90" t="str">
        <x:v>LI</x:v>
      </x:c>
      <x:c r="E65" s="90" t="str">
        <x:v>(4,6)</x:v>
      </x:c>
      <x:c r="F65" s="90" t="str">
        <x:v>Uncertain</x:v>
      </x:c>
      <x:c r="G65" s="90" t="str">
        <x:v>Low</x:v>
      </x:c>
      <x:c r="H65" s="91" t="str">
        <x:v>用户红框指出可能是漏检 Branch，尚未最终确认。</x:v>
      </x:c>
    </x:row>
    <x:row r="66">
      <x:c r="A66" s="92" t="str">
        <x:v>prsn → Q</x:v>
      </x:c>
      <x:c r="B66" s="93" t="str">
        <x:v>TRIMMED</x:v>
      </x:c>
      <x:c r="C66" s="93" t="str">
        <x:v>CMCC-CM2-SR5</x:v>
      </x:c>
      <x:c r="D66" s="93" t="str">
        <x:v>LI</x:v>
      </x:c>
      <x:c r="E66" s="93" t="str">
        <x:v>(5,6)</x:v>
      </x:c>
      <x:c r="F66" s="93" t="str">
        <x:v>Uncertain</x:v>
      </x:c>
      <x:c r="G66" s="93" t="str">
        <x:v>Low</x:v>
      </x:c>
      <x:c r="H66" s="94" t="str">
        <x:v>用户红框指出可能是漏检 Branch，尚未最终确认。</x:v>
      </x:c>
    </x:row>
  </x:sheetData>
  <x:mergeCells>
    <x:mergeCell ref="A1:H1"/>
    <x:mergeCell ref="A2:H2"/>
  </x:mergeCells>
  <x:conditionalFormatting sqref="F5:F66">
    <x:cfRule type="expression" dxfId="250" priority="1">
      <x:formula>F5="Branch"</x:formula>
    </x:cfRule>
    <x:cfRule type="expression" dxfId="251" priority="2">
      <x:formula>F5="Candidate"</x:formula>
    </x:cfRule>
    <x:cfRule type="expression" dxfId="252" priority="3">
      <x:formula>F5="Uncertain"</x:formula>
    </x:cfRule>
    <x:cfRule type="expression" dxfId="253" priority="4">
      <x:formula>F5="No branch"</x:formula>
    </x:cfRule>
    <x:cfRule type="expression" dxfId="254" priority="5">
      <x:formula>F5="待标注"</x:formula>
    </x:cfRule>
  </x:conditionalFormatting>
  <x:dataValidations count="1">
    <x:dataValidation type="list" sqref="F5:F66">
      <x:formula1>"Branch,Candidate,Uncertain,No branch"</x:formula1>
    </x:dataValidation>
  </x:dataValidations>
  <x:pageMargins left="0.7" right="0.7" top="0.75" bottom="0.75" header="0.3" footer="0.3"/>
</x:worksheet>
</file>